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cisão" state="visible" r:id="rId4"/>
    <sheet sheetId="2" name="Resumo" state="visible" r:id="rId5"/>
    <sheet sheetId="3" name="1 Classificadas pela pasta" state="visible" r:id="rId6"/>
    <sheet sheetId="4" name="2 Exigem decisão da igreja" state="visible" r:id="rId7"/>
    <sheet sheetId="5" name="3 Exigem documentação" state="visible" r:id="rId8"/>
    <sheet sheetId="6" name="4 Exigem resposta ao escritório" state="visible" r:id="rId9"/>
    <sheet sheetId="7" name="Pedido ao escritório" state="visible" r:id="rId10"/>
    <sheet sheetId="8" name="Como preencher" state="visible" r:id="rId11"/>
  </sheets>
  <calcPr calcId="171027"/>
</workbook>
</file>

<file path=xl/sharedStrings.xml><?xml version="1.0" encoding="utf-8"?>
<sst xmlns="http://schemas.openxmlformats.org/spreadsheetml/2006/main" count="674" uniqueCount="255">
  <si>
    <t>17 NFs sem pagamento identificado: decisão consolidada com as evidências da pasta Tesouraria</t>
  </si>
  <si>
    <t>Versão 3, de 13/10/2026. Células VERDES foram preenchidas pelas evidências da pasta (justificativa e arquivo nas colunas X e Y). Células AMARELAS esperam a sua decisão; laranja = falta preencher. Nada foi alterado no app: nenhum lançamento, movimentação ou reclassificação.</t>
  </si>
  <si>
    <t>O QUE SABEMOS</t>
  </si>
  <si>
    <t>RASTREAR PELA NF-e</t>
  </si>
  <si>
    <t>SITUAÇÃO</t>
  </si>
  <si>
    <t>EVIDÊNCIA DA PASTA</t>
  </si>
  <si>
    <t>O QUE AINDA FALTA</t>
  </si>
  <si>
    <t>ID</t>
  </si>
  <si>
    <t>Fornecedor</t>
  </si>
  <si>
    <t>CNPJ do emitente</t>
  </si>
  <si>
    <t>Endereço do emitente</t>
  </si>
  <si>
    <t>Nº da NF</t>
  </si>
  <si>
    <t>Data</t>
  </si>
  <si>
    <t>Valor (R$)</t>
  </si>
  <si>
    <t>Categoria atual</t>
  </si>
  <si>
    <t>Centro atual</t>
  </si>
  <si>
    <t>Descrição</t>
  </si>
  <si>
    <t>Existe documento anexado?</t>
  </si>
  <si>
    <t>Existe pagamento localizado?</t>
  </si>
  <si>
    <t>Observações</t>
  </si>
  <si>
    <t>Confiança e fonte do CNPJ e endereço</t>
  </si>
  <si>
    <t xml:space="preserve">Chave de acesso da NF-e
(44 dígitos)</t>
  </si>
  <si>
    <t xml:space="preserve">CNPJ pela chave
(automático)</t>
  </si>
  <si>
    <t xml:space="preserve">Consultar emitente
(automático)</t>
  </si>
  <si>
    <t>Situação</t>
  </si>
  <si>
    <t xml:space="preserve">Nome do doador
(se Oferta)</t>
  </si>
  <si>
    <t xml:space="preserve">Pessoa a reembolsar
(se Reembolso)</t>
  </si>
  <si>
    <t xml:space="preserve">Pagamento já realizado?
(se Reembolso)</t>
  </si>
  <si>
    <t xml:space="preserve">Forma de pagamento
(se Pago de Outra Forma)</t>
  </si>
  <si>
    <t>Origem da classificação</t>
  </si>
  <si>
    <t>Justificativa</t>
  </si>
  <si>
    <t>Documento utilizado</t>
  </si>
  <si>
    <t>Pendência restante</t>
  </si>
  <si>
    <t>Próximo passo</t>
  </si>
  <si>
    <t>Sua observação</t>
  </si>
  <si>
    <t>NF-01</t>
  </si>
  <si>
    <t>RFC Comércio de Miudezas</t>
  </si>
  <si>
    <t>Não identificado</t>
  </si>
  <si>
    <t>—</t>
  </si>
  <si>
    <t>6942</t>
  </si>
  <si>
    <t>Sem lançamento no app</t>
  </si>
  <si>
    <t>NF 6942, RFC Comércio de Miudezas. Nota recebida e lançada pelo escritório na conta 211005 (fornecedores de bens materiais), ainda sem baixa.</t>
  </si>
  <si>
    <t>Não (a NF não está no app nem na pasta)</t>
  </si>
  <si>
    <t>Não</t>
  </si>
  <si>
    <t>Pelo nome: material diverso (miudezas). Fornecedor sem cadastro no app. Aberta há 310 dias em 31/08/2026.</t>
  </si>
  <si>
    <t>Não identificado só pelo nome. A busca por nome em bases públicas devolveu empresas de nome parecido, nenhuma confirmada. Use a chave de acesso da NF-e (colunas O a Q).</t>
  </si>
  <si>
    <t>Aguarda decisão da igreja</t>
  </si>
  <si>
    <t>Nenhuma evidência na pasta Tesouraria: busquei por nome do arquivo, número da NF, valor (±R$ 0,01, até 90 dias) e pelo TEXTO de 3.601 PDFs. Nada do fornecedor, da NF nem do valor. (889 PDFs são imagens e não puderam ser lidos por texto.)</t>
  </si>
  <si>
    <t>Decisão; Resposta do escritório (chave da NF-e)</t>
  </si>
  <si>
    <t>Decidir a situação (oferta, reembolso, pago de outra forma, NF cancelada ou investigar) e pedir ao escritório a chave de acesso da NF-e.</t>
  </si>
  <si>
    <t>NF-02</t>
  </si>
  <si>
    <t>Kalunga</t>
  </si>
  <si>
    <t>43.283.811/0001-50 (matriz)</t>
  </si>
  <si>
    <t>Rua da Mooca, 766, andares 4 e 5, Mooca, São Paulo/SP, CEP 03104-010. Tel. (11) 3346-9600. Razão social: KALUNGA SA.</t>
  </si>
  <si>
    <t>344169</t>
  </si>
  <si>
    <t>NF 344169, Kalunga. Nota recebida e lançada pelo escritório na conta 211005 (fornecedores de bens materiais), ainda sem baixa.</t>
  </si>
  <si>
    <t>Pela Receita: papelaria. Fornecedor sem cadastro no app. Aberta há 308 dias em 31/08/2026.</t>
  </si>
  <si>
    <t>Matriz confirmada na Receita (a razão social confere). A NF pode ter saído de uma filial (a Kalunga tem lojas no Rio, como Norte Shopping/Cachambi): a chave diz qual.</t>
  </si>
  <si>
    <t>NF-03</t>
  </si>
  <si>
    <t>Vira Verão Bazar</t>
  </si>
  <si>
    <t>64</t>
  </si>
  <si>
    <t>NF 64, Vira Verão Bazar. Nota recebida e lançada pelo escritório na conta 211005 (fornecedores de bens materiais), ainda sem baixa.</t>
  </si>
  <si>
    <t>Pelo nome: bazar, artigos diversos. Fornecedor sem cadastro no app. Aberta há 307 dias em 31/08/2026.</t>
  </si>
  <si>
    <t>NF-04</t>
  </si>
  <si>
    <t>Estação da Central Comércio de Doces e Bebidas</t>
  </si>
  <si>
    <t>66</t>
  </si>
  <si>
    <t>NF 66, Estação da Central Comércio de Doces e Bebidas. Nota recebida e lançada pelo escritório na conta 211005 (fornecedores de bens materiais), ainda sem baixa.</t>
  </si>
  <si>
    <t>Pelo nome: doces e bebidas (lanche ou evento). Fornecedor sem cadastro no app. Datas de 25 a 29/10/2025: quatro NFs pequenas na mesma semana (RFC, Kalunga, Vira Verão, Estação da Central). Aberta há 306 dias em 31/08/2026.</t>
  </si>
  <si>
    <t>NF-05</t>
  </si>
  <si>
    <t>Claudinei Pinhal dos Santos Comércio</t>
  </si>
  <si>
    <t>31606</t>
  </si>
  <si>
    <t>NF 31606, Claudinei Pinhal dos Santos Comércio. Nota recebida e lançada pelo escritório na conta 211005 (fornecedores de bens materiais), ainda sem baixa.</t>
  </si>
  <si>
    <t>Ramo não identificado pelo nome. Fornecedor sem cadastro no app. Aberta há 285 dias em 31/08/2026.</t>
  </si>
  <si>
    <t>NF-06</t>
  </si>
  <si>
    <t>SOS Sobrado Malhas</t>
  </si>
  <si>
    <t>3763</t>
  </si>
  <si>
    <t>NF 3763, SOS Sobrado Malhas. Nota recebida e lançada pelo escritório na conta 211005 (fornecedores de bens materiais), ainda sem baixa.</t>
  </si>
  <si>
    <t>Pelo nome: malhas e confecção. Fornecedor sem cadastro no app. Aberta há 135 dias em 31/08/2026.</t>
  </si>
  <si>
    <t>NF-07</t>
  </si>
  <si>
    <t>Tech Brasil Comércio e Serviços</t>
  </si>
  <si>
    <t>9922</t>
  </si>
  <si>
    <t>NF 9922, Tech Brasil Comércio e Serviços. Nota recebida e lançada pelo escritório na conta 211005 (fornecedores de bens materiais), ainda sem baixa.</t>
  </si>
  <si>
    <t>Pelo nome: comércio e serviços, provavelmente informática. Fornecedor sem cadastro no app. Aberta há 125 dias em 31/08/2026.</t>
  </si>
  <si>
    <t>NF-08</t>
  </si>
  <si>
    <t>Del Castilho Madeiras e Construção</t>
  </si>
  <si>
    <t>22.753.989/0001-47 (matriz)</t>
  </si>
  <si>
    <t>Rua Bispo Lacerda, 28, Del Castilho, Rio de Janeiro/RJ, CEP 21051-120. Tel. (21) 2501-3034. Razão social: DEL CASTILHO MADEIRAS E CONSTRUCAO LTDA; nome fantasia: ATACADAO DEL CASTILHO.</t>
  </si>
  <si>
    <t>24553</t>
  </si>
  <si>
    <t>Sem lançamento no app (histórico do fornecedor: Material de Consumo)</t>
  </si>
  <si>
    <t>(histórico do fornecedor: Administração · Ornamentação)</t>
  </si>
  <si>
    <t>NF 24553, Del Castilho Madeiras e Construção. Nota recebida e lançada pelo escritório na conta 211005 (fornecedores de bens materiais), ainda sem baixa.</t>
  </si>
  <si>
    <t>Sim, na pasta Tesouraria (não está anexada no app)</t>
  </si>
  <si>
    <t>Sim: em dinheiro, 10/08/2026 (Caixa Auxiliar). Não consta como pagamento no app</t>
  </si>
  <si>
    <t>Pela Receita: comércio de materiais de construção (Atacadão Del Castilho). Fornecedor cadastrado. Tem 2 pagamentos em ago/2025 (R$ 159,00 e R$ 780,03, ambos na Caixinha), de outro período e de outro valor. Aberta há 21 dias em 31/08/2026.</t>
  </si>
  <si>
    <t>Confirmado pela própria NF-e: emitente Del Castilho Madeiras e Construção LTDA; destinatário Quarta Igreja Batista RJ (CNPJ 27.639.285/0001-61); valor R$ 255,30. Endereço da Receita Federal.</t>
  </si>
  <si>
    <t>33260822753989000147550070000245531000754460</t>
  </si>
  <si>
    <t>Pago de Outra Forma</t>
  </si>
  <si>
    <t>Dinheiro</t>
  </si>
  <si>
    <t>Automática pela pasta</t>
  </si>
  <si>
    <t>NF-e 24553 (R$ 255,30, emitida em 10/08/2026 15:35, autorizada, destinatário: a igreja) com o carimbo "PG ESPÉCIE" no Caixa Auxiliar de 10/08/2026. O valor confere no texto do PDF.</t>
  </si>
  <si>
    <t>2026 _ ARQUIVOS DE MOVIMENTO CONTÁBIL/08 - AGO-2026/02. CAIXA AUXILIAR/10.AGO/10.08.2026 - R$255,30 _ NF24553 _ DEL CASTILHO MADEIRAS E CONSTRUCOES _ PG ESPECIE.pdf</t>
  </si>
  <si>
    <t>Resposta ao escritório</t>
  </si>
  <si>
    <t>Informar ao escritório: pago em dinheiro em 10/08/2026; enviar a NF-e e o comprovante. (O pagamento não está lançado no app: fica para a tesouraria, não foi alterado.)</t>
  </si>
  <si>
    <t>NF-09</t>
  </si>
  <si>
    <t>C Cadamuro Comércio de Utilidades Automotivas</t>
  </si>
  <si>
    <t>53836</t>
  </si>
  <si>
    <t>NF 53836, C Cadamuro Comércio de Utilidades Automotivas. Nota recebida e lançada pelo escritório na conta 211005 (fornecedores de bens materiais), ainda sem baixa.</t>
  </si>
  <si>
    <t>Pelo nome: utilidades automotivas. Fornecedor sem cadastro no app. Aberta há 5 dias em 31/08/2026.</t>
  </si>
  <si>
    <t>NF-10</t>
  </si>
  <si>
    <t>Goldensky Comércio Digital</t>
  </si>
  <si>
    <t>36.470.020/0002-54 (filial)</t>
  </si>
  <si>
    <t>Rua Amazonas da Silva, 271, Vila Guilherme, São Paulo/SP, CEP 02051-000. Tel. (11) 5061-0215. Razão social: GOLDENSKY COMERCIO DIGITAL LTDA.</t>
  </si>
  <si>
    <t>1621752</t>
  </si>
  <si>
    <t>NF 1621752, Goldensky Comércio Digital. Nota recebida e lançada pelo escritório na conta 211005 (fornecedores de bens materiais), ainda sem baixa.</t>
  </si>
  <si>
    <t>Pela Receita: comércio varejista de equipamentos e suprimentos de informática. Fornecedor cadastrado, sem nenhum lançamento. NF de 31/08: se foi paga em setembro, o app mostraria; não mostra. Aberta há 0 dias em 31/08/2026.</t>
  </si>
  <si>
    <t>CNPJ do cadastro do app; razão social e endereço da Receita Federal (consulta de 13/10/2026). Atenção: é uma FILIAL. Confirmar pela chave se a NF 1621752 saiu dela.</t>
  </si>
  <si>
    <t>NF-11</t>
  </si>
  <si>
    <t>D Flesh Serviços e Conveniências</t>
  </si>
  <si>
    <t>02.052.410/0001-01 (matriz)</t>
  </si>
  <si>
    <t>Largo Aluno Horácio Lucas, 17, loja 17-A, Engenho Velho, Rio de Janeiro/RJ, CEP 20271-180. Razão social: D FLESH SERVICOS E CONVENIENCIAS LTDA; nomes fantasia: KIMANIA, KIFOTOS, KIKASKINHA, KICOPIAS.</t>
  </si>
  <si>
    <t>25597</t>
  </si>
  <si>
    <t>Sem lançamento no app (histórico do fornecedor: Publicidade e Propaganda)</t>
  </si>
  <si>
    <t>(histórico do fornecedor: Administração · Institucional)</t>
  </si>
  <si>
    <t>NF 25597, D Flesh Serviços e Conveniências. Nota recebida e lançada pelo escritório na conta 211006 (fornecedores de bens e serviços), ainda sem baixa.</t>
  </si>
  <si>
    <t>Não (a NF 25597 não está na pasta; só existe a resposta da igreja)</t>
  </si>
  <si>
    <t>Sim: em espécie, pelo Pr. Patrick (resposta de jan/2026); não passou pelo caixa da igreja</t>
  </si>
  <si>
    <t>Pela Receita: fotocópias (Kimania, Kifotos, Kicopias). Fornecedor cadastrado. Tem 6 pagamentos (R$ 1.270,00 no total); os mais próximos: R$ 250,00 em 07/11/2024 e R$ 100,00 em 26/03/2025. Nenhum de R$ 137,28. Aberta há 690 dias em 31/08/2026.</t>
  </si>
  <si>
    <t>CNPJ do cadastro do app; razão social e endereço da Receita Federal (consulta de 13/10/2026). Atividade: fotocópias.</t>
  </si>
  <si>
    <t>Oferta para a Igreja</t>
  </si>
  <si>
    <t>Pr. Patrick (nome completo a confirmar)</t>
  </si>
  <si>
    <t>Resposta da igreja ao escritório (jan/2026): "Foi pago em espécie pelo Pr. Patrick, e ofertado." A NF 25597 não está na pasta; só há a resposta.</t>
  </si>
  <si>
    <t>Pendências AL/01_2026_ALPL_CONT_111_SOLICITAÇÃO_DOCUMENTOS_CONTABILIDADE_QIBRJ.xlsx, aba SERVIÇOS_TOMADOS, coluna "Resposta do cliente"</t>
  </si>
  <si>
    <t>Documento; Resposta ao escritório</t>
  </si>
  <si>
    <t>Obter o termo de doação assinado pelo Pr. Patrick (R$ 137,28, NF 25597) e informar ao escritório que é doação não monetária.</t>
  </si>
  <si>
    <t>NF-12</t>
  </si>
  <si>
    <t>Paulo Cid Lopes Pinto</t>
  </si>
  <si>
    <t>184</t>
  </si>
  <si>
    <t>NF 184, Paulo Cid Lopes Pinto. Nota recebida e lançada pelo escritório na conta 211006 (fornecedores de bens e serviços), ainda sem baixa.</t>
  </si>
  <si>
    <t>Não (falta a nota de cancelamento; só há a resposta e o extrato)</t>
  </si>
  <si>
    <t>Sim: R$ 160,00 em 26/06/2024 (valor diferente da NF de R$ 150,00)</t>
  </si>
  <si>
    <t>Pessoa física ou MEI. Fornecedor sem cadastro. O app tem pagamentos que citam Paulo Cid nas observações, lançados como SOLTECX Construções e Soluções: R$ 160,00 (26/06/2024 e 18/07/2025), R$ 726,70 (06/02/2025), R$ 558,00 (24/03/2025) e R$ 210,00 (27/02/2026). Nenhum de R$ 150,00. Aberta há 662 dias em 31/08/2026.</t>
  </si>
  <si>
    <t>Não identificado só pelo nome. A busca por nome em bases públicas devolveu empresas de nome parecido, nenhuma confirmada. Use a chave de acesso da NF-e (colunas O a Q). Pessoa física ou MEI; o app registra pagamentos que citam Paulo Cid como SOLTECX Construções e Soluções (outro nome da mesma pessoa ou empresa?), sem CNPJ.</t>
  </si>
  <si>
    <t>NF Cancelada</t>
  </si>
  <si>
    <t>Resposta da igreja ao escritório (jan/2026): "Foi solicitado o cancelamento desta NF pois o valor pago foi de R$ 160,00." O extrato do Bradesco de 26/06/2024 mostra o PIX para Paulo Cid, e o app registra R$ 160,00 nessa data (lançado como SOLTECX).</t>
  </si>
  <si>
    <t>Pendências AL/01_2026_ALPL_CONT_111_SOLICITAÇÃO_DOCUMENTOS_CONTABILIDADE_QIBRJ.xlsx, aba SERVIÇOS_TOMADOS, coluna "Resposta do cliente"; extrato do Bradesco em 2024 _ ARQUIVOS DE MOVIMENTO CONTÁBIL/06 - JUN-2024 _ MALOTES/25.JUN/25.06.2024 - R$280,00 _ ANTUB ANDAIMES _ PG BANKLINE.pdf</t>
  </si>
  <si>
    <t>Obter a prova do cancelamento da NF 184 (nota de cancelamento ou e-mail do emitente) e a NF do pagamento de R$ 160,00. O escritório ainda mostra a NF 184 em aberto.</t>
  </si>
  <si>
    <t>NF-13</t>
  </si>
  <si>
    <t>R E M Áudio e Tecnologia</t>
  </si>
  <si>
    <t>1047</t>
  </si>
  <si>
    <t>NF 1047, R E M Áudio e Tecnologia. Nota recebida e lançada pelo escritório na conta 211006 (fornecedores de bens e serviços), ainda sem baixa.</t>
  </si>
  <si>
    <t>Pelo nome: áudio e tecnologia (equipamento ou serviço de som). Fornecedor sem cadastro no app. Aberta há 367 dias em 31/08/2026.</t>
  </si>
  <si>
    <t>NF-14</t>
  </si>
  <si>
    <t>Hotelaria Accor Brasil</t>
  </si>
  <si>
    <t>09.967.852/0001-27 (matriz)</t>
  </si>
  <si>
    <t>Avenida Doutora Ruth Cardoso, 7815, andares 9 e 10, Pinheiros, São Paulo/SP, CEP 05425-905. Tel. (11) 2089-6100. Razão social: HOTELARIA ACCOR BRASIL S/A.</t>
  </si>
  <si>
    <t>166376</t>
  </si>
  <si>
    <t>NF 166376, Hotelaria Accor Brasil. Nota recebida e lançada pelo escritório na conta 211006 (fornecedores de bens e serviços), ainda sem baixa.</t>
  </si>
  <si>
    <t>Sim, na pasta Tesouraria (imagem; não está anexada no app)</t>
  </si>
  <si>
    <t>Sim: em dinheiro, 08/09/2025 (Caixa Auxiliar)</t>
  </si>
  <si>
    <t>Pela Receita: hotéis. Provável viagem ou evento. Fornecedor sem cadastro no app. Aberta há 357 dias em 31/08/2026.</t>
  </si>
  <si>
    <t>Matriz confirmada na Receita (a razão social confere). Cada hotel tem CNPJ de filial (mesma raiz 09.967.852): a chave diz em qual hotel foi a hospedagem.</t>
  </si>
  <si>
    <t>NF 166376 (Hotelaria Accor, R$ 445,10) com o carimbo "PG ESPÉCIE", datada de 08/09/2025, no Caixa Auxiliar do malote de ago/2025. O PDF é uma imagem: nome, data e valor conferem; o conteúdo não pôde ser lido.</t>
  </si>
  <si>
    <t>2025 _ ARQUIVOS DE MOVIMENTO CONTÁBIL/2025 _ 3º TRIMESTRE E OUTUBRO/08 - AGO-2025 _ MALOTE/02. CAIXA AUXILIAR/08.09.2025 - R$445,10 _ NF166376 _ HOTELARIA ACCOR BRASIL SA _ PG ESPÉCIE.pdf</t>
  </si>
  <si>
    <t>Informar pagamento em dinheiro em 08/09/2025 e enviar o arquivo. Conferir visualmente o PDF antes de enviar.</t>
  </si>
  <si>
    <t>NF-15</t>
  </si>
  <si>
    <t>Hidro Sistemas Contra Incêndio</t>
  </si>
  <si>
    <t>7392</t>
  </si>
  <si>
    <t>NF 7392, Hidro Sistemas Contra Incêndio. Nota recebida e lançada pelo escritório na conta 211006 (fornecedores de bens e serviços), ainda sem baixa.</t>
  </si>
  <si>
    <t>Pelo nome: serviço de combate a incêndio (extintores ou mangueiras). Fornecedor sem cadastro no app. Aberta há 269 dias em 31/08/2026.</t>
  </si>
  <si>
    <t>NF-16</t>
  </si>
  <si>
    <t>Castor Administração de Hotelaria</t>
  </si>
  <si>
    <t>230048</t>
  </si>
  <si>
    <t>NF 230048, Castor Administração de Hotelaria. Nota recebida e lançada pelo escritório na conta 211006 (fornecedores de bens e serviços), ainda sem baixa.</t>
  </si>
  <si>
    <t>Pelo nome: hospedagem (hotel). Provável viagem ou evento. Fornecedor sem cadastro no app. Duas NFs do mesmo hotel com 6 dias de diferença (esta e a 230334). Aberta há 118 dias em 31/08/2026.</t>
  </si>
  <si>
    <t>NF-17</t>
  </si>
  <si>
    <t>230334</t>
  </si>
  <si>
    <t>NF 230334, Castor Administração de Hotelaria. Nota recebida e lançada pelo escritório na conta 211006 (fornecedores de bens e serviços), ainda sem baixa.</t>
  </si>
  <si>
    <t>Pelo nome: hospedagem (hotel). Provável viagem ou evento. Fornecedor sem cadastro no app. Duas NFs do mesmo hotel com 6 dias de diferença (esta e a 230048). Aberta há 112 dias em 31/08/2026.</t>
  </si>
  <si>
    <t>Total das 17 NFs</t>
  </si>
  <si>
    <t>Quanto da decisão a pasta já resolveu</t>
  </si>
  <si>
    <t>Situação das 17 NFs</t>
  </si>
  <si>
    <t>NFs</t>
  </si>
  <si>
    <t>Quais</t>
  </si>
  <si>
    <t>1. Classificadas automaticamente pela pasta</t>
  </si>
  <si>
    <t>Del Castilho NF 24553; D Flesh NF 25597; Paulo Cid NF 184; Hotelaria Accor NF 166376</t>
  </si>
  <si>
    <t>2. Ainda exigem decisão da igreja</t>
  </si>
  <si>
    <t>As outras 13 NFs (sem nenhum rastro na pasta)</t>
  </si>
  <si>
    <t>Total</t>
  </si>
  <si>
    <t/>
  </si>
  <si>
    <t>O que cada situação já tem</t>
  </si>
  <si>
    <t>Reembolso</t>
  </si>
  <si>
    <t>Precisa Investigar</t>
  </si>
  <si>
    <t>Sem situação (aguardam você)</t>
  </si>
  <si>
    <t>O que ainda falta</t>
  </si>
  <si>
    <t>Decisão da igreja</t>
  </si>
  <si>
    <t>Documentação</t>
  </si>
  <si>
    <t>Resposta da igreja ao escritório</t>
  </si>
  <si>
    <t>Resposta do escritório (chave da NF-e)</t>
  </si>
  <si>
    <t>Uma NF pode estar em mais de uma lista de pendência restante.</t>
  </si>
  <si>
    <t>NFs classificadas automaticamente com evidência da pasta</t>
  </si>
  <si>
    <t>NF</t>
  </si>
  <si>
    <t>Forma / doador</t>
  </si>
  <si>
    <t>NFs sem nenhum rastro na pasta: só a igreja decide</t>
  </si>
  <si>
    <t>O que a pasta mostra</t>
  </si>
  <si>
    <t>Pista pelo nome ou Receita</t>
  </si>
  <si>
    <t>Pelo nome: material diverso (miudezas).</t>
  </si>
  <si>
    <t>Pela Receita: papelaria.</t>
  </si>
  <si>
    <t>Pelo nome: bazar, artigos diversos.</t>
  </si>
  <si>
    <t>Pelo nome: doces e bebidas (lanche ou evento).</t>
  </si>
  <si>
    <t>Ramo não identificado pelo nome.</t>
  </si>
  <si>
    <t>Pelo nome: malhas e confecção.</t>
  </si>
  <si>
    <t>Pelo nome: comércio e serviços, provavelmente informática.</t>
  </si>
  <si>
    <t>Pelo nome: utilidades automotivas.</t>
  </si>
  <si>
    <t>Pela Receita: comércio varejista de equipamentos e suprimentos de informática.</t>
  </si>
  <si>
    <t>Pelo nome: áudio e tecnologia (equipamento ou serviço de som).</t>
  </si>
  <si>
    <t>Pelo nome: serviço de combate a incêndio (extintores ou mangueiras).</t>
  </si>
  <si>
    <t>Pelo nome: hospedagem (hotel). Provável viagem ou evento.</t>
  </si>
  <si>
    <t>Documentos que ainda faltam, mesmo nas NFs já classificadas</t>
  </si>
  <si>
    <t>O que falta</t>
  </si>
  <si>
    <t>Respostas que a igreja deve enviar ao escritório (e a chave da NF-e que o escritório deve enviar)</t>
  </si>
  <si>
    <t>Quem responde a quem</t>
  </si>
  <si>
    <t>O que responder ou pedir</t>
  </si>
  <si>
    <t>Escritório responde à igreja (chave da NF-e)</t>
  </si>
  <si>
    <t>Pedir a chave de acesso (44 dígitos) ou o XML da NF-e. Depois da decisão da igreja, anexar o documento conforme a situação.</t>
  </si>
  <si>
    <t>Igreja responde ao escritório</t>
  </si>
  <si>
    <t>Texto para o escritório e as NFs que ainda dependem da chave (13 de 17)</t>
  </si>
  <si>
    <t>Olá. Para rastrearmos as pendências das contas 211005 e 211006 (saldo de 31/08/2026), peço a chave de acesso (44 dígitos) ou o XML das NF-e recebidas listadas abaixo, e, quando houver, o CNPJ e o endereço do emitente. Para a Kalunga, que tem várias lojas, precisamos saber qual unidade emitiu a nota. As demais 4 NFs da lista original (Del Castilho, Hotelaria Accor, D Flesh e Paulo Cid) já têm resposta e enviaremos à parte. Obrigada.</t>
  </si>
  <si>
    <t>Chave de acesso (o escritório preenche)</t>
  </si>
  <si>
    <t>Como escolher a Situação</t>
  </si>
  <si>
    <t>Quando escolher</t>
  </si>
  <si>
    <t>O que isso significa para a contabilidade</t>
  </si>
  <si>
    <t>Alguém comprou com dinheiro próprio, a NF saiu no CNPJ da igreja e a pessoa disse que estava ofertando. Informe o doador.</t>
  </si>
  <si>
    <t>Doação não monetária: o escritório lança despesa (ou estoque, ou imobilizado) e a receita de doação. Não passa por caixa nem banco. Pede termo de doação assinado pelo doador.</t>
  </si>
  <si>
    <t>Alguém pagou do próprio bolso e a igreja deve devolver (ou já devolveu). Informe a pessoa e se já foi pago.</t>
  </si>
  <si>
    <t>A despesa vale na data da NF e a igreja deve à pessoa. Se já foi pago, o app precisa do comprovante do reembolso.</t>
  </si>
  <si>
    <t>A igreja pagou, mas o app não mostra: PIX, TED, dinheiro, cartão ou outro. Informe a forma.</t>
  </si>
  <si>
    <t>O pagamento existe; falta ligá-lo à NF e (se for dinheiro) lançá-lo no app.</t>
  </si>
  <si>
    <t>A NF foi cancelada ou substituída pelo emitente.</t>
  </si>
  <si>
    <t>O escritório baixa a NF contra o cancelamento. Pede a prova do cancelamento e a NF do valor que foi de fato pago.</t>
  </si>
  <si>
    <t>Você não sabe. O escritório volta a perguntar.</t>
  </si>
  <si>
    <t>Continua aberta na contabilidade até haver uma resposta.</t>
  </si>
  <si>
    <t>Cores</t>
  </si>
  <si>
    <t>Verde</t>
  </si>
  <si>
    <t>Preenchido automaticamente com evidência da pasta. Você pode corrigir.</t>
  </si>
  <si>
    <t>Amarelo</t>
  </si>
  <si>
    <t>Espera a sua decisão.</t>
  </si>
  <si>
    <t>Laranja</t>
  </si>
  <si>
    <t>Falta preencher um campo que a Situação escolhida exige.</t>
  </si>
  <si>
    <t>Cinza</t>
  </si>
  <si>
    <t>Campo que não vale para a Situação escolhida.</t>
  </si>
  <si>
    <t>Como achar o CNPJ e o local da compra</t>
  </si>
  <si>
    <t>A chave de acesso da NF-e tem 44 dígitos; os dígitos 7 a 20 são o CNPJ do emitente. Cole a chave na coluna O: o CNPJ aparece na P e o link da Q abre a consulta da empresa.</t>
  </si>
  <si>
    <t>CNPJ com final diferente de /0001 é filial: indica a loja ou o hotel. Vale para Kalunga e Goldensky.</t>
  </si>
  <si>
    <t>A busca de fornecedores por nome em bases públicas devolveu empresas homônimas, por isso 11 fornecedores seguem sem CNPJ.</t>
  </si>
  <si>
    <t>Esta planilha só registra decisões e evidências. Nenhum dado do app foi alterado, nenhum lançamento criado e nada reclassificado.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</si>
</sst>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R$&quot; #,##0.00"/>
  </numFmts>
  <fonts count="13" x14ac:knownFonts="1">
    <font>
      <color theme="1"/>
      <family val="2"/>
      <scheme val="minor"/>
      <sz val="11"/>
      <name val="Calibri"/>
    </font>
    <font>
      <b/>
      <color rgb="FF1F3A5F"/>
      <sz val="14"/>
      <name val="Arial"/>
    </font>
    <font>
      <i/>
      <color rgb="FF555B63"/>
      <sz val="10"/>
      <name val="Arial"/>
    </font>
    <font>
      <b/>
      <color rgb="FFFFFFFF"/>
      <sz val="10"/>
      <name val="Arial"/>
    </font>
    <font>
      <b/>
      <color rgb="FF3B2F00"/>
      <sz val="10"/>
      <name val="Arial"/>
    </font>
    <font>
      <b/>
      <sz val="10"/>
      <name val="Arial"/>
    </font>
    <font>
      <sz val="10"/>
      <name val="Arial"/>
    </font>
    <font>
      <color rgb="FF9A3412"/>
      <sz val="10"/>
      <name val="Arial"/>
    </font>
    <font>
      <sz val="9"/>
      <name val="Consolas"/>
    </font>
    <font>
      <color rgb="FF1B6B5A"/>
      <sz val="10"/>
      <name val="Arial"/>
    </font>
    <font>
      <b/>
      <color rgb="FF1F3A5F"/>
      <sz val="10"/>
      <name val="Arial"/>
    </font>
    <font>
      <b/>
      <color rgb="FF1F3A5F"/>
      <sz val="13"/>
      <name val="Arial"/>
    </font>
    <font>
      <i/>
      <sz val="10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1B6B5A"/>
      </patternFill>
    </fill>
    <fill>
      <patternFill patternType="solid">
        <fgColor rgb="FF8A6D00"/>
      </patternFill>
    </fill>
    <fill>
      <patternFill patternType="solid">
        <fgColor rgb="FF6A1B9A"/>
      </patternFill>
    </fill>
    <fill>
      <patternFill patternType="solid">
        <fgColor rgb="FF9A3412"/>
      </patternFill>
    </fill>
    <fill>
      <patternFill patternType="solid">
        <fgColor rgb="FFF2C94C"/>
      </patternFill>
    </fill>
    <fill>
      <patternFill patternType="solid">
        <fgColor rgb="FFFDE7E0"/>
      </patternFill>
    </fill>
    <fill>
      <patternFill patternType="solid">
        <fgColor rgb="FFFFF6CC"/>
      </patternFill>
    </fill>
    <fill>
      <patternFill patternType="solid">
        <fgColor rgb="FFE9ECEF"/>
      </patternFill>
    </fill>
    <fill>
      <patternFill patternType="solid">
        <fgColor rgb="FFD8F0DC"/>
      </patternFill>
    </fill>
    <fill>
      <patternFill patternType="solid">
        <fgColor rgb="FFFFD9B3"/>
      </patternFill>
    </fill>
    <fill>
      <patternFill patternType="solid">
        <fgColor rgb="FFD0D4D9"/>
      </patternFill>
    </fill>
  </fills>
  <borders count="2">
    <border>
      <left/>
      <right/>
      <top/>
      <bottom/>
      <diagonal/>
    </border>
    <border>
      <left style="thin">
        <color rgb="FFB8BEC6"/>
      </left>
      <right style="thin">
        <color rgb="FFB8BEC6"/>
      </right>
      <top style="thin">
        <color rgb="FFB8BEC6"/>
      </top>
      <bottom style="thin">
        <color rgb="FFB8BEC6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8" borderId="1" xfId="0" applyFont="1" applyFill="1" applyBorder="1" applyAlignment="1">
      <alignment vertical="top" wrapText="1"/>
    </xf>
    <xf numFmtId="0" fontId="6" fillId="8" borderId="1" xfId="0" applyFont="1" applyFill="1" applyBorder="1" applyAlignment="1">
      <alignment vertical="top" wrapText="1"/>
    </xf>
    <xf numFmtId="0" fontId="6" fillId="0" borderId="1" xfId="0" applyFont="1" applyBorder="1" applyAlignment="1">
      <alignment horizontal="center" vertical="top"/>
    </xf>
    <xf numFmtId="164" fontId="6" fillId="0" borderId="1" xfId="0" applyNumberFormat="1" applyFont="1" applyBorder="1" applyAlignment="1">
      <alignment vertical="top" wrapText="1"/>
    </xf>
    <xf numFmtId="165" fontId="6" fillId="0" borderId="1" xfId="0" applyNumberFormat="1" applyFont="1" applyBorder="1" applyAlignment="1">
      <alignment vertical="top" wrapText="1"/>
    </xf>
    <xf numFmtId="49" fontId="8" fillId="9" borderId="1" xfId="0" applyNumberFormat="1" applyFont="1" applyFill="1" applyBorder="1" applyAlignment="1">
      <alignment vertical="top" wrapText="1"/>
    </xf>
    <xf numFmtId="0" fontId="9" fillId="0" borderId="1" xfId="0" applyFont="1" applyBorder="1" applyAlignment="1">
      <alignment vertical="top"/>
    </xf>
    <xf numFmtId="0" fontId="6" fillId="9" borderId="1" xfId="0" applyFont="1" applyFill="1" applyBorder="1" applyAlignment="1">
      <alignment vertical="top" wrapText="1"/>
    </xf>
    <xf numFmtId="0" fontId="5" fillId="10" borderId="1" xfId="0" applyFont="1" applyFill="1" applyBorder="1" applyAlignment="1">
      <alignment vertical="top" wrapText="1"/>
    </xf>
    <xf numFmtId="49" fontId="8" fillId="11" borderId="1" xfId="0" applyNumberFormat="1" applyFont="1" applyFill="1" applyBorder="1" applyAlignment="1">
      <alignment vertical="top" wrapText="1"/>
    </xf>
    <xf numFmtId="0" fontId="5" fillId="11" borderId="1" xfId="0" applyFont="1" applyFill="1" applyBorder="1" applyAlignment="1">
      <alignment vertical="top" wrapText="1"/>
    </xf>
    <xf numFmtId="0" fontId="6" fillId="11" borderId="1" xfId="0" applyFont="1" applyFill="1" applyBorder="1" applyAlignment="1">
      <alignment vertical="top" wrapText="1"/>
    </xf>
    <xf numFmtId="0" fontId="5" fillId="0" borderId="0" xfId="0" applyFont="1"/>
    <xf numFmtId="165" fontId="5" fillId="0" borderId="0" xfId="0" applyNumberFormat="1" applyFont="1"/>
    <xf numFmtId="0" fontId="3" fillId="2" borderId="1" xfId="0" applyFont="1" applyFill="1" applyBorder="1"/>
    <xf numFmtId="165" fontId="5" fillId="0" borderId="1" xfId="0" applyNumberFormat="1" applyFont="1" applyBorder="1" applyAlignment="1">
      <alignment vertical="top" wrapText="1"/>
    </xf>
    <xf numFmtId="0" fontId="10" fillId="0" borderId="0" xfId="0" applyFont="1"/>
    <xf numFmtId="0" fontId="6" fillId="0" borderId="1" xfId="0" applyFont="1" applyBorder="1"/>
    <xf numFmtId="165" fontId="6" fillId="0" borderId="1" xfId="0" applyNumberFormat="1" applyFont="1" applyBorder="1"/>
    <xf numFmtId="0" fontId="2" fillId="0" borderId="0" xfId="0" applyFont="1"/>
    <xf numFmtId="0" fontId="11" fillId="0" borderId="0" xfId="0" applyFont="1"/>
    <xf numFmtId="0" fontId="3" fillId="2" borderId="1" xfId="0" applyFont="1" applyFill="1" applyBorder="1" applyAlignment="1">
      <alignment vertical="center" wrapText="1"/>
    </xf>
    <xf numFmtId="14" fontId="6" fillId="0" borderId="1" xfId="0" applyNumberFormat="1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164" fontId="6" fillId="0" borderId="1" xfId="0" applyNumberFormat="1" applyFont="1" applyBorder="1"/>
    <xf numFmtId="0" fontId="8" fillId="9" borderId="1" xfId="0" applyFont="1" applyFill="1" applyBorder="1"/>
    <xf numFmtId="0" fontId="6" fillId="11" borderId="1" xfId="0" applyFont="1" applyFill="1" applyBorder="1"/>
    <xf numFmtId="0" fontId="6" fillId="9" borderId="1" xfId="0" applyFont="1" applyFill="1" applyBorder="1"/>
    <xf numFmtId="0" fontId="6" fillId="12" borderId="1" xfId="0" applyFont="1" applyFill="1" applyBorder="1"/>
    <xf numFmtId="0" fontId="6" fillId="13" borderId="1" xfId="0" applyFont="1" applyFill="1" applyBorder="1"/>
    <xf numFmtId="0" fontId="12" fillId="0" borderId="0" xfId="0" applyFont="1"/>
  </cellXfs>
  <cellStyles count="1">
    <cellStyle name="Normal" xfId="0" builtinId="0"/>
  </cellStyles>
  <dxfs count="9">
    <dxf>
      <fill>
        <patternFill patternType="solid">
          <bgColor rgb="FFFFD9B3"/>
        </patternFill>
      </fill>
    </dxf>
    <dxf>
      <fill>
        <patternFill patternType="solid">
          <bgColor rgb="FFD0D4D9"/>
        </patternFill>
      </fill>
    </dxf>
    <dxf>
      <fill>
        <patternFill patternType="solid">
          <bgColor rgb="FFFFD9B3"/>
        </patternFill>
      </fill>
    </dxf>
    <dxf>
      <fill>
        <patternFill patternType="solid">
          <bgColor rgb="FFD0D4D9"/>
        </patternFill>
      </fill>
    </dxf>
    <dxf>
      <fill>
        <patternFill patternType="solid">
          <bgColor rgb="FFFFD9B3"/>
        </patternFill>
      </fill>
    </dxf>
    <dxf>
      <fill>
        <patternFill patternType="solid">
          <bgColor rgb="FFD0D4D9"/>
        </patternFill>
      </fill>
    </dxf>
    <dxf>
      <fill>
        <patternFill patternType="solid">
          <bgColor rgb="FFFFD9B3"/>
        </patternFill>
      </fill>
    </dxf>
    <dxf>
      <fill>
        <patternFill patternType="solid">
          <bgColor rgb="FFD0D4D9"/>
        </patternFill>
      </fill>
    </dxf>
    <dxf>
      <fill>
        <patternFill patternType="solid">
          <bgColor rgb="FFFFD9B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A5F"/>
    <pageSetUpPr fitToPage="1"/>
  </sheetPr>
  <dimension ref="A1:AB23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2" width="28" customWidth="1"/>
    <col min="3" max="3" width="24" customWidth="1"/>
    <col min="4" max="4" width="44" customWidth="1"/>
    <col min="5" max="5" width="10" customWidth="1"/>
    <col min="6" max="6" width="11" customWidth="1"/>
    <col min="7" max="7" width="12" customWidth="1"/>
    <col min="8" max="8" width="24" customWidth="1"/>
    <col min="9" max="9" width="22" customWidth="1"/>
    <col min="10" max="10" width="32" customWidth="1"/>
    <col min="11" max="11" width="20" customWidth="1"/>
    <col min="12" max="12" width="24" customWidth="1"/>
    <col min="13" max="13" width="50" customWidth="1"/>
    <col min="14" max="14" width="38" customWidth="1"/>
    <col min="15" max="15" width="30" customWidth="1"/>
    <col min="16" max="16" width="22" customWidth="1"/>
    <col min="17" max="17" width="18" customWidth="1"/>
    <col min="18" max="18" width="22" customWidth="1"/>
    <col min="19" max="19" width="24" customWidth="1"/>
    <col min="20" max="20" width="22" customWidth="1"/>
    <col min="21" max="21" width="16" customWidth="1"/>
    <col min="22" max="22" width="18" customWidth="1"/>
    <col min="23" max="23" width="20" customWidth="1"/>
    <col min="24" max="25" width="56" customWidth="1"/>
    <col min="26" max="26" width="24" customWidth="1"/>
    <col min="27" max="27" width="58" customWidth="1"/>
    <col min="28" max="28" width="3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36" customHeight="1" spans="1:2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 t="s">
        <v>3</v>
      </c>
      <c r="P3" s="4"/>
      <c r="Q3" s="4"/>
      <c r="R3" s="5" t="s">
        <v>4</v>
      </c>
      <c r="S3" s="5"/>
      <c r="T3" s="5"/>
      <c r="U3" s="5"/>
      <c r="V3" s="5"/>
      <c r="W3" s="6" t="s">
        <v>5</v>
      </c>
      <c r="X3" s="6"/>
      <c r="Y3" s="6"/>
      <c r="Z3" s="7" t="s">
        <v>6</v>
      </c>
      <c r="AA3" s="7"/>
      <c r="AB3" s="7"/>
    </row>
    <row r="4" ht="52" customHeight="1" spans="1:28" x14ac:dyDescent="0.25">
      <c r="A4" s="8" t="s">
        <v>7</v>
      </c>
      <c r="B4" s="8" t="s">
        <v>8</v>
      </c>
      <c r="C4" s="8" t="s">
        <v>9</v>
      </c>
      <c r="D4" s="8" t="s">
        <v>10</v>
      </c>
      <c r="E4" s="8" t="s">
        <v>11</v>
      </c>
      <c r="F4" s="8" t="s">
        <v>12</v>
      </c>
      <c r="G4" s="8" t="s">
        <v>13</v>
      </c>
      <c r="H4" s="8" t="s">
        <v>14</v>
      </c>
      <c r="I4" s="8" t="s">
        <v>15</v>
      </c>
      <c r="J4" s="8" t="s">
        <v>16</v>
      </c>
      <c r="K4" s="8" t="s">
        <v>17</v>
      </c>
      <c r="L4" s="8" t="s">
        <v>18</v>
      </c>
      <c r="M4" s="8" t="s">
        <v>19</v>
      </c>
      <c r="N4" s="8" t="s">
        <v>20</v>
      </c>
      <c r="O4" s="9" t="s">
        <v>21</v>
      </c>
      <c r="P4" s="9" t="s">
        <v>22</v>
      </c>
      <c r="Q4" s="9" t="s">
        <v>23</v>
      </c>
      <c r="R4" s="10" t="s">
        <v>24</v>
      </c>
      <c r="S4" s="10" t="s">
        <v>25</v>
      </c>
      <c r="T4" s="10" t="s">
        <v>26</v>
      </c>
      <c r="U4" s="10" t="s">
        <v>27</v>
      </c>
      <c r="V4" s="10" t="s">
        <v>28</v>
      </c>
      <c r="W4" s="11" t="s">
        <v>29</v>
      </c>
      <c r="X4" s="11" t="s">
        <v>30</v>
      </c>
      <c r="Y4" s="11" t="s">
        <v>31</v>
      </c>
      <c r="Z4" s="12" t="s">
        <v>32</v>
      </c>
      <c r="AA4" s="12" t="s">
        <v>33</v>
      </c>
      <c r="AB4" s="12" t="s">
        <v>34</v>
      </c>
    </row>
    <row r="5" ht="75.5" customHeight="1" spans="1:28" x14ac:dyDescent="0.25">
      <c r="A5" s="13" t="s">
        <v>35</v>
      </c>
      <c r="B5" s="14" t="s">
        <v>36</v>
      </c>
      <c r="C5" s="15" t="s">
        <v>37</v>
      </c>
      <c r="D5" s="16" t="s">
        <v>38</v>
      </c>
      <c r="E5" s="17" t="s">
        <v>39</v>
      </c>
      <c r="F5" s="18">
        <v>45955.625</v>
      </c>
      <c r="G5" s="19">
        <v>125.88</v>
      </c>
      <c r="H5" s="14" t="s">
        <v>40</v>
      </c>
      <c r="I5" s="14" t="s">
        <v>38</v>
      </c>
      <c r="J5" s="14" t="s">
        <v>41</v>
      </c>
      <c r="K5" s="14" t="s">
        <v>42</v>
      </c>
      <c r="L5" s="14" t="s">
        <v>43</v>
      </c>
      <c r="M5" s="14" t="s">
        <v>44</v>
      </c>
      <c r="N5" s="14" t="s">
        <v>45</v>
      </c>
      <c r="O5" s="20"/>
      <c r="P5" s="21">
        <f>IF(LEN(SUBSTITUTE($O5," ",""))=44,MID(SUBSTITUTE($O5," ",""),7,2)&amp;"."&amp;MID(SUBSTITUTE($O5," ",""),9,3)&amp;"."&amp;MID(SUBSTITUTE($O5," ",""),12,3)&amp;"/"&amp;MID(SUBSTITUTE($O5," ",""),15,4)&amp;"-"&amp;MID(SUBSTITUTE($O5," ",""),19,2),"")</f>
      </c>
      <c r="Q5" s="21">
        <f>IF(LEN(SUBSTITUTE($O5," ",""))=44,HYPERLINK("https://cnpja.com/office/"&amp;MID(SUBSTITUTE($O5," ",""),7,14),"Consultar emitente"),"")</f>
      </c>
      <c r="R5" s="22"/>
      <c r="S5" s="22"/>
      <c r="T5" s="22"/>
      <c r="U5" s="22"/>
      <c r="V5" s="22"/>
      <c r="W5" s="23" t="s">
        <v>46</v>
      </c>
      <c r="X5" s="14" t="s">
        <v>47</v>
      </c>
      <c r="Y5" s="14" t="s">
        <v>38</v>
      </c>
      <c r="Z5" s="14" t="s">
        <v>48</v>
      </c>
      <c r="AA5" s="14" t="s">
        <v>49</v>
      </c>
      <c r="AB5" s="22"/>
    </row>
    <row r="6" ht="75.5" customHeight="1" spans="1:28" x14ac:dyDescent="0.25">
      <c r="A6" s="13" t="s">
        <v>50</v>
      </c>
      <c r="B6" s="14" t="s">
        <v>51</v>
      </c>
      <c r="C6" s="14" t="s">
        <v>52</v>
      </c>
      <c r="D6" s="14" t="s">
        <v>53</v>
      </c>
      <c r="E6" s="17" t="s">
        <v>54</v>
      </c>
      <c r="F6" s="18">
        <v>45957.625</v>
      </c>
      <c r="G6" s="19">
        <v>84.2</v>
      </c>
      <c r="H6" s="14" t="s">
        <v>40</v>
      </c>
      <c r="I6" s="14" t="s">
        <v>38</v>
      </c>
      <c r="J6" s="14" t="s">
        <v>55</v>
      </c>
      <c r="K6" s="14" t="s">
        <v>42</v>
      </c>
      <c r="L6" s="14" t="s">
        <v>43</v>
      </c>
      <c r="M6" s="14" t="s">
        <v>56</v>
      </c>
      <c r="N6" s="14" t="s">
        <v>57</v>
      </c>
      <c r="O6" s="20"/>
      <c r="P6" s="21">
        <f>IF(LEN(SUBSTITUTE($O6," ",""))=44,MID(SUBSTITUTE($O6," ",""),7,2)&amp;"."&amp;MID(SUBSTITUTE($O6," ",""),9,3)&amp;"."&amp;MID(SUBSTITUTE($O6," ",""),12,3)&amp;"/"&amp;MID(SUBSTITUTE($O6," ",""),15,4)&amp;"-"&amp;MID(SUBSTITUTE($O6," ",""),19,2),"")</f>
      </c>
      <c r="Q6" s="21">
        <f>IF(LEN(SUBSTITUTE($O6," ",""))=44,HYPERLINK("https://cnpja.com/office/"&amp;MID(SUBSTITUTE($O6," ",""),7,14),"Consultar emitente"),"")</f>
      </c>
      <c r="R6" s="22"/>
      <c r="S6" s="22"/>
      <c r="T6" s="22"/>
      <c r="U6" s="22"/>
      <c r="V6" s="22"/>
      <c r="W6" s="23" t="s">
        <v>46</v>
      </c>
      <c r="X6" s="14" t="s">
        <v>47</v>
      </c>
      <c r="Y6" s="14" t="s">
        <v>38</v>
      </c>
      <c r="Z6" s="14" t="s">
        <v>48</v>
      </c>
      <c r="AA6" s="14" t="s">
        <v>49</v>
      </c>
      <c r="AB6" s="22"/>
    </row>
    <row r="7" ht="75.5" customHeight="1" spans="1:28" x14ac:dyDescent="0.25">
      <c r="A7" s="13" t="s">
        <v>58</v>
      </c>
      <c r="B7" s="14" t="s">
        <v>59</v>
      </c>
      <c r="C7" s="15" t="s">
        <v>37</v>
      </c>
      <c r="D7" s="16" t="s">
        <v>38</v>
      </c>
      <c r="E7" s="17" t="s">
        <v>60</v>
      </c>
      <c r="F7" s="18">
        <v>45958.625</v>
      </c>
      <c r="G7" s="19">
        <v>25</v>
      </c>
      <c r="H7" s="14" t="s">
        <v>40</v>
      </c>
      <c r="I7" s="14" t="s">
        <v>38</v>
      </c>
      <c r="J7" s="14" t="s">
        <v>61</v>
      </c>
      <c r="K7" s="14" t="s">
        <v>42</v>
      </c>
      <c r="L7" s="14" t="s">
        <v>43</v>
      </c>
      <c r="M7" s="14" t="s">
        <v>62</v>
      </c>
      <c r="N7" s="14" t="s">
        <v>45</v>
      </c>
      <c r="O7" s="20"/>
      <c r="P7" s="21">
        <f>IF(LEN(SUBSTITUTE($O7," ",""))=44,MID(SUBSTITUTE($O7," ",""),7,2)&amp;"."&amp;MID(SUBSTITUTE($O7," ",""),9,3)&amp;"."&amp;MID(SUBSTITUTE($O7," ",""),12,3)&amp;"/"&amp;MID(SUBSTITUTE($O7," ",""),15,4)&amp;"-"&amp;MID(SUBSTITUTE($O7," ",""),19,2),"")</f>
      </c>
      <c r="Q7" s="21">
        <f>IF(LEN(SUBSTITUTE($O7," ",""))=44,HYPERLINK("https://cnpja.com/office/"&amp;MID(SUBSTITUTE($O7," ",""),7,14),"Consultar emitente"),"")</f>
      </c>
      <c r="R7" s="22"/>
      <c r="S7" s="22"/>
      <c r="T7" s="22"/>
      <c r="U7" s="22"/>
      <c r="V7" s="22"/>
      <c r="W7" s="23" t="s">
        <v>46</v>
      </c>
      <c r="X7" s="14" t="s">
        <v>47</v>
      </c>
      <c r="Y7" s="14" t="s">
        <v>38</v>
      </c>
      <c r="Z7" s="14" t="s">
        <v>48</v>
      </c>
      <c r="AA7" s="14" t="s">
        <v>49</v>
      </c>
      <c r="AB7" s="22"/>
    </row>
    <row r="8" ht="75.5" customHeight="1" spans="1:28" x14ac:dyDescent="0.25">
      <c r="A8" s="13" t="s">
        <v>63</v>
      </c>
      <c r="B8" s="14" t="s">
        <v>64</v>
      </c>
      <c r="C8" s="15" t="s">
        <v>37</v>
      </c>
      <c r="D8" s="16" t="s">
        <v>38</v>
      </c>
      <c r="E8" s="17" t="s">
        <v>65</v>
      </c>
      <c r="F8" s="18">
        <v>45959.625</v>
      </c>
      <c r="G8" s="19">
        <v>25.98</v>
      </c>
      <c r="H8" s="14" t="s">
        <v>40</v>
      </c>
      <c r="I8" s="14" t="s">
        <v>38</v>
      </c>
      <c r="J8" s="14" t="s">
        <v>66</v>
      </c>
      <c r="K8" s="14" t="s">
        <v>42</v>
      </c>
      <c r="L8" s="14" t="s">
        <v>43</v>
      </c>
      <c r="M8" s="14" t="s">
        <v>67</v>
      </c>
      <c r="N8" s="14" t="s">
        <v>45</v>
      </c>
      <c r="O8" s="20"/>
      <c r="P8" s="21">
        <f>IF(LEN(SUBSTITUTE($O8," ",""))=44,MID(SUBSTITUTE($O8," ",""),7,2)&amp;"."&amp;MID(SUBSTITUTE($O8," ",""),9,3)&amp;"."&amp;MID(SUBSTITUTE($O8," ",""),12,3)&amp;"/"&amp;MID(SUBSTITUTE($O8," ",""),15,4)&amp;"-"&amp;MID(SUBSTITUTE($O8," ",""),19,2),"")</f>
      </c>
      <c r="Q8" s="21">
        <f>IF(LEN(SUBSTITUTE($O8," ",""))=44,HYPERLINK("https://cnpja.com/office/"&amp;MID(SUBSTITUTE($O8," ",""),7,14),"Consultar emitente"),"")</f>
      </c>
      <c r="R8" s="22"/>
      <c r="S8" s="22"/>
      <c r="T8" s="22"/>
      <c r="U8" s="22"/>
      <c r="V8" s="22"/>
      <c r="W8" s="23" t="s">
        <v>46</v>
      </c>
      <c r="X8" s="14" t="s">
        <v>47</v>
      </c>
      <c r="Y8" s="14" t="s">
        <v>38</v>
      </c>
      <c r="Z8" s="14" t="s">
        <v>48</v>
      </c>
      <c r="AA8" s="14" t="s">
        <v>49</v>
      </c>
      <c r="AB8" s="22"/>
    </row>
    <row r="9" ht="75.5" customHeight="1" spans="1:28" x14ac:dyDescent="0.25">
      <c r="A9" s="13" t="s">
        <v>68</v>
      </c>
      <c r="B9" s="14" t="s">
        <v>69</v>
      </c>
      <c r="C9" s="15" t="s">
        <v>37</v>
      </c>
      <c r="D9" s="16" t="s">
        <v>38</v>
      </c>
      <c r="E9" s="17" t="s">
        <v>70</v>
      </c>
      <c r="F9" s="18">
        <v>45980.625</v>
      </c>
      <c r="G9" s="19">
        <v>112.22</v>
      </c>
      <c r="H9" s="14" t="s">
        <v>40</v>
      </c>
      <c r="I9" s="14" t="s">
        <v>38</v>
      </c>
      <c r="J9" s="14" t="s">
        <v>71</v>
      </c>
      <c r="K9" s="14" t="s">
        <v>42</v>
      </c>
      <c r="L9" s="14" t="s">
        <v>43</v>
      </c>
      <c r="M9" s="14" t="s">
        <v>72</v>
      </c>
      <c r="N9" s="14" t="s">
        <v>45</v>
      </c>
      <c r="O9" s="20"/>
      <c r="P9" s="21">
        <f>IF(LEN(SUBSTITUTE($O9," ",""))=44,MID(SUBSTITUTE($O9," ",""),7,2)&amp;"."&amp;MID(SUBSTITUTE($O9," ",""),9,3)&amp;"."&amp;MID(SUBSTITUTE($O9," ",""),12,3)&amp;"/"&amp;MID(SUBSTITUTE($O9," ",""),15,4)&amp;"-"&amp;MID(SUBSTITUTE($O9," ",""),19,2),"")</f>
      </c>
      <c r="Q9" s="21">
        <f>IF(LEN(SUBSTITUTE($O9," ",""))=44,HYPERLINK("https://cnpja.com/office/"&amp;MID(SUBSTITUTE($O9," ",""),7,14),"Consultar emitente"),"")</f>
      </c>
      <c r="R9" s="22"/>
      <c r="S9" s="22"/>
      <c r="T9" s="22"/>
      <c r="U9" s="22"/>
      <c r="V9" s="22"/>
      <c r="W9" s="23" t="s">
        <v>46</v>
      </c>
      <c r="X9" s="14" t="s">
        <v>47</v>
      </c>
      <c r="Y9" s="14" t="s">
        <v>38</v>
      </c>
      <c r="Z9" s="14" t="s">
        <v>48</v>
      </c>
      <c r="AA9" s="14" t="s">
        <v>49</v>
      </c>
      <c r="AB9" s="22"/>
    </row>
    <row r="10" ht="75.5" customHeight="1" spans="1:28" x14ac:dyDescent="0.25">
      <c r="A10" s="13" t="s">
        <v>73</v>
      </c>
      <c r="B10" s="14" t="s">
        <v>74</v>
      </c>
      <c r="C10" s="15" t="s">
        <v>37</v>
      </c>
      <c r="D10" s="16" t="s">
        <v>38</v>
      </c>
      <c r="E10" s="17" t="s">
        <v>75</v>
      </c>
      <c r="F10" s="18">
        <v>46130.625</v>
      </c>
      <c r="G10" s="19">
        <v>143</v>
      </c>
      <c r="H10" s="14" t="s">
        <v>40</v>
      </c>
      <c r="I10" s="14" t="s">
        <v>38</v>
      </c>
      <c r="J10" s="14" t="s">
        <v>76</v>
      </c>
      <c r="K10" s="14" t="s">
        <v>42</v>
      </c>
      <c r="L10" s="14" t="s">
        <v>43</v>
      </c>
      <c r="M10" s="14" t="s">
        <v>77</v>
      </c>
      <c r="N10" s="14" t="s">
        <v>45</v>
      </c>
      <c r="O10" s="20"/>
      <c r="P10" s="21">
        <f>IF(LEN(SUBSTITUTE($O10," ",""))=44,MID(SUBSTITUTE($O10," ",""),7,2)&amp;"."&amp;MID(SUBSTITUTE($O10," ",""),9,3)&amp;"."&amp;MID(SUBSTITUTE($O10," ",""),12,3)&amp;"/"&amp;MID(SUBSTITUTE($O10," ",""),15,4)&amp;"-"&amp;MID(SUBSTITUTE($O10," ",""),19,2),"")</f>
      </c>
      <c r="Q10" s="21">
        <f>IF(LEN(SUBSTITUTE($O10," ",""))=44,HYPERLINK("https://cnpja.com/office/"&amp;MID(SUBSTITUTE($O10," ",""),7,14),"Consultar emitente"),"")</f>
      </c>
      <c r="R10" s="22"/>
      <c r="S10" s="22"/>
      <c r="T10" s="22"/>
      <c r="U10" s="22"/>
      <c r="V10" s="22"/>
      <c r="W10" s="23" t="s">
        <v>46</v>
      </c>
      <c r="X10" s="14" t="s">
        <v>47</v>
      </c>
      <c r="Y10" s="14" t="s">
        <v>38</v>
      </c>
      <c r="Z10" s="14" t="s">
        <v>48</v>
      </c>
      <c r="AA10" s="14" t="s">
        <v>49</v>
      </c>
      <c r="AB10" s="22"/>
    </row>
    <row r="11" ht="75.5" customHeight="1" spans="1:28" x14ac:dyDescent="0.25">
      <c r="A11" s="13" t="s">
        <v>78</v>
      </c>
      <c r="B11" s="14" t="s">
        <v>79</v>
      </c>
      <c r="C11" s="15" t="s">
        <v>37</v>
      </c>
      <c r="D11" s="16" t="s">
        <v>38</v>
      </c>
      <c r="E11" s="17" t="s">
        <v>80</v>
      </c>
      <c r="F11" s="18">
        <v>46140.625</v>
      </c>
      <c r="G11" s="19">
        <v>104.4</v>
      </c>
      <c r="H11" s="14" t="s">
        <v>40</v>
      </c>
      <c r="I11" s="14" t="s">
        <v>38</v>
      </c>
      <c r="J11" s="14" t="s">
        <v>81</v>
      </c>
      <c r="K11" s="14" t="s">
        <v>42</v>
      </c>
      <c r="L11" s="14" t="s">
        <v>43</v>
      </c>
      <c r="M11" s="14" t="s">
        <v>82</v>
      </c>
      <c r="N11" s="14" t="s">
        <v>45</v>
      </c>
      <c r="O11" s="20"/>
      <c r="P11" s="21">
        <f>IF(LEN(SUBSTITUTE($O11," ",""))=44,MID(SUBSTITUTE($O11," ",""),7,2)&amp;"."&amp;MID(SUBSTITUTE($O11," ",""),9,3)&amp;"."&amp;MID(SUBSTITUTE($O11," ",""),12,3)&amp;"/"&amp;MID(SUBSTITUTE($O11," ",""),15,4)&amp;"-"&amp;MID(SUBSTITUTE($O11," ",""),19,2),"")</f>
      </c>
      <c r="Q11" s="21">
        <f>IF(LEN(SUBSTITUTE($O11," ",""))=44,HYPERLINK("https://cnpja.com/office/"&amp;MID(SUBSTITUTE($O11," ",""),7,14),"Consultar emitente"),"")</f>
      </c>
      <c r="R11" s="22"/>
      <c r="S11" s="22"/>
      <c r="T11" s="22"/>
      <c r="U11" s="22"/>
      <c r="V11" s="22"/>
      <c r="W11" s="23" t="s">
        <v>46</v>
      </c>
      <c r="X11" s="14" t="s">
        <v>47</v>
      </c>
      <c r="Y11" s="14" t="s">
        <v>38</v>
      </c>
      <c r="Z11" s="14" t="s">
        <v>48</v>
      </c>
      <c r="AA11" s="14" t="s">
        <v>49</v>
      </c>
      <c r="AB11" s="22"/>
    </row>
    <row r="12" ht="75.5" customHeight="1" spans="1:28" x14ac:dyDescent="0.25">
      <c r="A12" s="13" t="s">
        <v>83</v>
      </c>
      <c r="B12" s="14" t="s">
        <v>84</v>
      </c>
      <c r="C12" s="14" t="s">
        <v>85</v>
      </c>
      <c r="D12" s="14" t="s">
        <v>86</v>
      </c>
      <c r="E12" s="17" t="s">
        <v>87</v>
      </c>
      <c r="F12" s="18">
        <v>46244.625</v>
      </c>
      <c r="G12" s="19">
        <v>255.3</v>
      </c>
      <c r="H12" s="14" t="s">
        <v>88</v>
      </c>
      <c r="I12" s="14" t="s">
        <v>89</v>
      </c>
      <c r="J12" s="14" t="s">
        <v>90</v>
      </c>
      <c r="K12" s="14" t="s">
        <v>91</v>
      </c>
      <c r="L12" s="14" t="s">
        <v>92</v>
      </c>
      <c r="M12" s="14" t="s">
        <v>93</v>
      </c>
      <c r="N12" s="14" t="s">
        <v>94</v>
      </c>
      <c r="O12" s="24" t="s">
        <v>95</v>
      </c>
      <c r="P12" s="21">
        <f>IF(LEN(SUBSTITUTE($O12," ",""))=44,MID(SUBSTITUTE($O12," ",""),7,2)&amp;"."&amp;MID(SUBSTITUTE($O12," ",""),9,3)&amp;"."&amp;MID(SUBSTITUTE($O12," ",""),12,3)&amp;"/"&amp;MID(SUBSTITUTE($O12," ",""),15,4)&amp;"-"&amp;MID(SUBSTITUTE($O12," ",""),19,2),"")</f>
      </c>
      <c r="Q12" s="21">
        <f>IF(LEN(SUBSTITUTE($O12," ",""))=44,HYPERLINK("https://cnpja.com/office/"&amp;MID(SUBSTITUTE($O12," ",""),7,14),"Consultar emitente"),"")</f>
      </c>
      <c r="R12" s="25" t="s">
        <v>96</v>
      </c>
      <c r="S12" s="22"/>
      <c r="T12" s="22"/>
      <c r="U12" s="22"/>
      <c r="V12" s="26" t="s">
        <v>97</v>
      </c>
      <c r="W12" s="25" t="s">
        <v>98</v>
      </c>
      <c r="X12" s="14" t="s">
        <v>99</v>
      </c>
      <c r="Y12" s="14" t="s">
        <v>100</v>
      </c>
      <c r="Z12" s="14" t="s">
        <v>101</v>
      </c>
      <c r="AA12" s="14" t="s">
        <v>102</v>
      </c>
      <c r="AB12" s="22"/>
    </row>
    <row r="13" ht="75.5" customHeight="1" spans="1:28" x14ac:dyDescent="0.25">
      <c r="A13" s="13" t="s">
        <v>103</v>
      </c>
      <c r="B13" s="14" t="s">
        <v>104</v>
      </c>
      <c r="C13" s="15" t="s">
        <v>37</v>
      </c>
      <c r="D13" s="16" t="s">
        <v>38</v>
      </c>
      <c r="E13" s="17" t="s">
        <v>105</v>
      </c>
      <c r="F13" s="18">
        <v>46260.625</v>
      </c>
      <c r="G13" s="19">
        <v>149.38</v>
      </c>
      <c r="H13" s="14" t="s">
        <v>40</v>
      </c>
      <c r="I13" s="14" t="s">
        <v>38</v>
      </c>
      <c r="J13" s="14" t="s">
        <v>106</v>
      </c>
      <c r="K13" s="14" t="s">
        <v>42</v>
      </c>
      <c r="L13" s="14" t="s">
        <v>43</v>
      </c>
      <c r="M13" s="14" t="s">
        <v>107</v>
      </c>
      <c r="N13" s="14" t="s">
        <v>45</v>
      </c>
      <c r="O13" s="20"/>
      <c r="P13" s="21">
        <f>IF(LEN(SUBSTITUTE($O13," ",""))=44,MID(SUBSTITUTE($O13," ",""),7,2)&amp;"."&amp;MID(SUBSTITUTE($O13," ",""),9,3)&amp;"."&amp;MID(SUBSTITUTE($O13," ",""),12,3)&amp;"/"&amp;MID(SUBSTITUTE($O13," ",""),15,4)&amp;"-"&amp;MID(SUBSTITUTE($O13," ",""),19,2),"")</f>
      </c>
      <c r="Q13" s="21">
        <f>IF(LEN(SUBSTITUTE($O13," ",""))=44,HYPERLINK("https://cnpja.com/office/"&amp;MID(SUBSTITUTE($O13," ",""),7,14),"Consultar emitente"),"")</f>
      </c>
      <c r="R13" s="22"/>
      <c r="S13" s="22"/>
      <c r="T13" s="22"/>
      <c r="U13" s="22"/>
      <c r="V13" s="22"/>
      <c r="W13" s="23" t="s">
        <v>46</v>
      </c>
      <c r="X13" s="14" t="s">
        <v>47</v>
      </c>
      <c r="Y13" s="14" t="s">
        <v>38</v>
      </c>
      <c r="Z13" s="14" t="s">
        <v>48</v>
      </c>
      <c r="AA13" s="14" t="s">
        <v>49</v>
      </c>
      <c r="AB13" s="22"/>
    </row>
    <row r="14" ht="75.5" customHeight="1" spans="1:28" x14ac:dyDescent="0.25">
      <c r="A14" s="13" t="s">
        <v>108</v>
      </c>
      <c r="B14" s="14" t="s">
        <v>109</v>
      </c>
      <c r="C14" s="14" t="s">
        <v>110</v>
      </c>
      <c r="D14" s="14" t="s">
        <v>111</v>
      </c>
      <c r="E14" s="17" t="s">
        <v>112</v>
      </c>
      <c r="F14" s="18">
        <v>46265.625</v>
      </c>
      <c r="G14" s="19">
        <v>443.95</v>
      </c>
      <c r="H14" s="14" t="s">
        <v>40</v>
      </c>
      <c r="I14" s="14" t="s">
        <v>38</v>
      </c>
      <c r="J14" s="14" t="s">
        <v>113</v>
      </c>
      <c r="K14" s="14" t="s">
        <v>42</v>
      </c>
      <c r="L14" s="14" t="s">
        <v>43</v>
      </c>
      <c r="M14" s="14" t="s">
        <v>114</v>
      </c>
      <c r="N14" s="14" t="s">
        <v>115</v>
      </c>
      <c r="O14" s="20"/>
      <c r="P14" s="21">
        <f>IF(LEN(SUBSTITUTE($O14," ",""))=44,MID(SUBSTITUTE($O14," ",""),7,2)&amp;"."&amp;MID(SUBSTITUTE($O14," ",""),9,3)&amp;"."&amp;MID(SUBSTITUTE($O14," ",""),12,3)&amp;"/"&amp;MID(SUBSTITUTE($O14," ",""),15,4)&amp;"-"&amp;MID(SUBSTITUTE($O14," ",""),19,2),"")</f>
      </c>
      <c r="Q14" s="21">
        <f>IF(LEN(SUBSTITUTE($O14," ",""))=44,HYPERLINK("https://cnpja.com/office/"&amp;MID(SUBSTITUTE($O14," ",""),7,14),"Consultar emitente"),"")</f>
      </c>
      <c r="R14" s="22"/>
      <c r="S14" s="22"/>
      <c r="T14" s="22"/>
      <c r="U14" s="22"/>
      <c r="V14" s="22"/>
      <c r="W14" s="23" t="s">
        <v>46</v>
      </c>
      <c r="X14" s="14" t="s">
        <v>47</v>
      </c>
      <c r="Y14" s="14" t="s">
        <v>38</v>
      </c>
      <c r="Z14" s="14" t="s">
        <v>48</v>
      </c>
      <c r="AA14" s="14" t="s">
        <v>49</v>
      </c>
      <c r="AB14" s="22"/>
    </row>
    <row r="15" ht="75.5" customHeight="1" spans="1:28" x14ac:dyDescent="0.25">
      <c r="A15" s="13" t="s">
        <v>116</v>
      </c>
      <c r="B15" s="14" t="s">
        <v>117</v>
      </c>
      <c r="C15" s="14" t="s">
        <v>118</v>
      </c>
      <c r="D15" s="14" t="s">
        <v>119</v>
      </c>
      <c r="E15" s="17" t="s">
        <v>120</v>
      </c>
      <c r="F15" s="18">
        <v>45575.625</v>
      </c>
      <c r="G15" s="19">
        <v>137.28</v>
      </c>
      <c r="H15" s="14" t="s">
        <v>121</v>
      </c>
      <c r="I15" s="14" t="s">
        <v>122</v>
      </c>
      <c r="J15" s="14" t="s">
        <v>123</v>
      </c>
      <c r="K15" s="14" t="s">
        <v>124</v>
      </c>
      <c r="L15" s="14" t="s">
        <v>125</v>
      </c>
      <c r="M15" s="14" t="s">
        <v>126</v>
      </c>
      <c r="N15" s="14" t="s">
        <v>127</v>
      </c>
      <c r="O15" s="20"/>
      <c r="P15" s="21">
        <f>IF(LEN(SUBSTITUTE($O15," ",""))=44,MID(SUBSTITUTE($O15," ",""),7,2)&amp;"."&amp;MID(SUBSTITUTE($O15," ",""),9,3)&amp;"."&amp;MID(SUBSTITUTE($O15," ",""),12,3)&amp;"/"&amp;MID(SUBSTITUTE($O15," ",""),15,4)&amp;"-"&amp;MID(SUBSTITUTE($O15," ",""),19,2),"")</f>
      </c>
      <c r="Q15" s="21">
        <f>IF(LEN(SUBSTITUTE($O15," ",""))=44,HYPERLINK("https://cnpja.com/office/"&amp;MID(SUBSTITUTE($O15," ",""),7,14),"Consultar emitente"),"")</f>
      </c>
      <c r="R15" s="25" t="s">
        <v>128</v>
      </c>
      <c r="S15" s="26" t="s">
        <v>129</v>
      </c>
      <c r="T15" s="22"/>
      <c r="U15" s="22"/>
      <c r="V15" s="22"/>
      <c r="W15" s="25" t="s">
        <v>98</v>
      </c>
      <c r="X15" s="14" t="s">
        <v>130</v>
      </c>
      <c r="Y15" s="14" t="s">
        <v>131</v>
      </c>
      <c r="Z15" s="14" t="s">
        <v>132</v>
      </c>
      <c r="AA15" s="14" t="s">
        <v>133</v>
      </c>
      <c r="AB15" s="22"/>
    </row>
    <row r="16" ht="129.5" customHeight="1" spans="1:28" x14ac:dyDescent="0.25">
      <c r="A16" s="13" t="s">
        <v>134</v>
      </c>
      <c r="B16" s="14" t="s">
        <v>135</v>
      </c>
      <c r="C16" s="15" t="s">
        <v>37</v>
      </c>
      <c r="D16" s="16" t="s">
        <v>38</v>
      </c>
      <c r="E16" s="17" t="s">
        <v>136</v>
      </c>
      <c r="F16" s="18">
        <v>45603.625</v>
      </c>
      <c r="G16" s="19">
        <v>150</v>
      </c>
      <c r="H16" s="14" t="s">
        <v>40</v>
      </c>
      <c r="I16" s="14" t="s">
        <v>38</v>
      </c>
      <c r="J16" s="14" t="s">
        <v>137</v>
      </c>
      <c r="K16" s="14" t="s">
        <v>138</v>
      </c>
      <c r="L16" s="14" t="s">
        <v>139</v>
      </c>
      <c r="M16" s="14" t="s">
        <v>140</v>
      </c>
      <c r="N16" s="14" t="s">
        <v>141</v>
      </c>
      <c r="O16" s="20"/>
      <c r="P16" s="21">
        <f>IF(LEN(SUBSTITUTE($O16," ",""))=44,MID(SUBSTITUTE($O16," ",""),7,2)&amp;"."&amp;MID(SUBSTITUTE($O16," ",""),9,3)&amp;"."&amp;MID(SUBSTITUTE($O16," ",""),12,3)&amp;"/"&amp;MID(SUBSTITUTE($O16," ",""),15,4)&amp;"-"&amp;MID(SUBSTITUTE($O16," ",""),19,2),"")</f>
      </c>
      <c r="Q16" s="21">
        <f>IF(LEN(SUBSTITUTE($O16," ",""))=44,HYPERLINK("https://cnpja.com/office/"&amp;MID(SUBSTITUTE($O16," ",""),7,14),"Consultar emitente"),"")</f>
      </c>
      <c r="R16" s="25" t="s">
        <v>142</v>
      </c>
      <c r="S16" s="22"/>
      <c r="T16" s="22"/>
      <c r="U16" s="22"/>
      <c r="V16" s="22"/>
      <c r="W16" s="25" t="s">
        <v>98</v>
      </c>
      <c r="X16" s="14" t="s">
        <v>143</v>
      </c>
      <c r="Y16" s="14" t="s">
        <v>144</v>
      </c>
      <c r="Z16" s="14" t="s">
        <v>132</v>
      </c>
      <c r="AA16" s="14" t="s">
        <v>145</v>
      </c>
      <c r="AB16" s="22"/>
    </row>
    <row r="17" ht="75.5" customHeight="1" spans="1:28" x14ac:dyDescent="0.25">
      <c r="A17" s="13" t="s">
        <v>146</v>
      </c>
      <c r="B17" s="14" t="s">
        <v>147</v>
      </c>
      <c r="C17" s="15" t="s">
        <v>37</v>
      </c>
      <c r="D17" s="16" t="s">
        <v>38</v>
      </c>
      <c r="E17" s="17" t="s">
        <v>148</v>
      </c>
      <c r="F17" s="18">
        <v>45898.625</v>
      </c>
      <c r="G17" s="19">
        <v>161.3</v>
      </c>
      <c r="H17" s="14" t="s">
        <v>40</v>
      </c>
      <c r="I17" s="14" t="s">
        <v>38</v>
      </c>
      <c r="J17" s="14" t="s">
        <v>149</v>
      </c>
      <c r="K17" s="14" t="s">
        <v>42</v>
      </c>
      <c r="L17" s="14" t="s">
        <v>43</v>
      </c>
      <c r="M17" s="14" t="s">
        <v>150</v>
      </c>
      <c r="N17" s="14" t="s">
        <v>45</v>
      </c>
      <c r="O17" s="20"/>
      <c r="P17" s="21">
        <f>IF(LEN(SUBSTITUTE($O17," ",""))=44,MID(SUBSTITUTE($O17," ",""),7,2)&amp;"."&amp;MID(SUBSTITUTE($O17," ",""),9,3)&amp;"."&amp;MID(SUBSTITUTE($O17," ",""),12,3)&amp;"/"&amp;MID(SUBSTITUTE($O17," ",""),15,4)&amp;"-"&amp;MID(SUBSTITUTE($O17," ",""),19,2),"")</f>
      </c>
      <c r="Q17" s="21">
        <f>IF(LEN(SUBSTITUTE($O17," ",""))=44,HYPERLINK("https://cnpja.com/office/"&amp;MID(SUBSTITUTE($O17," ",""),7,14),"Consultar emitente"),"")</f>
      </c>
      <c r="R17" s="22"/>
      <c r="S17" s="22"/>
      <c r="T17" s="22"/>
      <c r="U17" s="22"/>
      <c r="V17" s="22"/>
      <c r="W17" s="23" t="s">
        <v>46</v>
      </c>
      <c r="X17" s="14" t="s">
        <v>47</v>
      </c>
      <c r="Y17" s="14" t="s">
        <v>38</v>
      </c>
      <c r="Z17" s="14" t="s">
        <v>48</v>
      </c>
      <c r="AA17" s="14" t="s">
        <v>49</v>
      </c>
      <c r="AB17" s="22"/>
    </row>
    <row r="18" ht="70" customHeight="1" spans="1:28" x14ac:dyDescent="0.25">
      <c r="A18" s="13" t="s">
        <v>151</v>
      </c>
      <c r="B18" s="14" t="s">
        <v>152</v>
      </c>
      <c r="C18" s="14" t="s">
        <v>153</v>
      </c>
      <c r="D18" s="14" t="s">
        <v>154</v>
      </c>
      <c r="E18" s="17" t="s">
        <v>155</v>
      </c>
      <c r="F18" s="18">
        <v>45908.625</v>
      </c>
      <c r="G18" s="19">
        <v>445.1</v>
      </c>
      <c r="H18" s="14" t="s">
        <v>40</v>
      </c>
      <c r="I18" s="14" t="s">
        <v>38</v>
      </c>
      <c r="J18" s="14" t="s">
        <v>156</v>
      </c>
      <c r="K18" s="14" t="s">
        <v>157</v>
      </c>
      <c r="L18" s="14" t="s">
        <v>158</v>
      </c>
      <c r="M18" s="14" t="s">
        <v>159</v>
      </c>
      <c r="N18" s="14" t="s">
        <v>160</v>
      </c>
      <c r="O18" s="20"/>
      <c r="P18" s="21">
        <f>IF(LEN(SUBSTITUTE($O18," ",""))=44,MID(SUBSTITUTE($O18," ",""),7,2)&amp;"."&amp;MID(SUBSTITUTE($O18," ",""),9,3)&amp;"."&amp;MID(SUBSTITUTE($O18," ",""),12,3)&amp;"/"&amp;MID(SUBSTITUTE($O18," ",""),15,4)&amp;"-"&amp;MID(SUBSTITUTE($O18," ",""),19,2),"")</f>
      </c>
      <c r="Q18" s="21">
        <f>IF(LEN(SUBSTITUTE($O18," ",""))=44,HYPERLINK("https://cnpja.com/office/"&amp;MID(SUBSTITUTE($O18," ",""),7,14),"Consultar emitente"),"")</f>
      </c>
      <c r="R18" s="25" t="s">
        <v>96</v>
      </c>
      <c r="S18" s="22"/>
      <c r="T18" s="22"/>
      <c r="U18" s="22"/>
      <c r="V18" s="26" t="s">
        <v>97</v>
      </c>
      <c r="W18" s="25" t="s">
        <v>98</v>
      </c>
      <c r="X18" s="14" t="s">
        <v>161</v>
      </c>
      <c r="Y18" s="14" t="s">
        <v>162</v>
      </c>
      <c r="Z18" s="14" t="s">
        <v>101</v>
      </c>
      <c r="AA18" s="14" t="s">
        <v>163</v>
      </c>
      <c r="AB18" s="22"/>
    </row>
    <row r="19" ht="75.5" customHeight="1" spans="1:28" x14ac:dyDescent="0.25">
      <c r="A19" s="13" t="s">
        <v>164</v>
      </c>
      <c r="B19" s="14" t="s">
        <v>165</v>
      </c>
      <c r="C19" s="15" t="s">
        <v>37</v>
      </c>
      <c r="D19" s="16" t="s">
        <v>38</v>
      </c>
      <c r="E19" s="17" t="s">
        <v>166</v>
      </c>
      <c r="F19" s="18">
        <v>45996.625</v>
      </c>
      <c r="G19" s="19">
        <v>50</v>
      </c>
      <c r="H19" s="14" t="s">
        <v>40</v>
      </c>
      <c r="I19" s="14" t="s">
        <v>38</v>
      </c>
      <c r="J19" s="14" t="s">
        <v>167</v>
      </c>
      <c r="K19" s="14" t="s">
        <v>42</v>
      </c>
      <c r="L19" s="14" t="s">
        <v>43</v>
      </c>
      <c r="M19" s="14" t="s">
        <v>168</v>
      </c>
      <c r="N19" s="14" t="s">
        <v>45</v>
      </c>
      <c r="O19" s="20"/>
      <c r="P19" s="21">
        <f>IF(LEN(SUBSTITUTE($O19," ",""))=44,MID(SUBSTITUTE($O19," ",""),7,2)&amp;"."&amp;MID(SUBSTITUTE($O19," ",""),9,3)&amp;"."&amp;MID(SUBSTITUTE($O19," ",""),12,3)&amp;"/"&amp;MID(SUBSTITUTE($O19," ",""),15,4)&amp;"-"&amp;MID(SUBSTITUTE($O19," ",""),19,2),"")</f>
      </c>
      <c r="Q19" s="21">
        <f>IF(LEN(SUBSTITUTE($O19," ",""))=44,HYPERLINK("https://cnpja.com/office/"&amp;MID(SUBSTITUTE($O19," ",""),7,14),"Consultar emitente"),"")</f>
      </c>
      <c r="R19" s="22"/>
      <c r="S19" s="22"/>
      <c r="T19" s="22"/>
      <c r="U19" s="22"/>
      <c r="V19" s="22"/>
      <c r="W19" s="23" t="s">
        <v>46</v>
      </c>
      <c r="X19" s="14" t="s">
        <v>47</v>
      </c>
      <c r="Y19" s="14" t="s">
        <v>38</v>
      </c>
      <c r="Z19" s="14" t="s">
        <v>48</v>
      </c>
      <c r="AA19" s="14" t="s">
        <v>49</v>
      </c>
      <c r="AB19" s="22"/>
    </row>
    <row r="20" ht="75.5" customHeight="1" spans="1:28" x14ac:dyDescent="0.25">
      <c r="A20" s="13" t="s">
        <v>169</v>
      </c>
      <c r="B20" s="14" t="s">
        <v>170</v>
      </c>
      <c r="C20" s="15" t="s">
        <v>37</v>
      </c>
      <c r="D20" s="16" t="s">
        <v>38</v>
      </c>
      <c r="E20" s="17" t="s">
        <v>171</v>
      </c>
      <c r="F20" s="18">
        <v>46147.625</v>
      </c>
      <c r="G20" s="19">
        <v>258.63</v>
      </c>
      <c r="H20" s="14" t="s">
        <v>40</v>
      </c>
      <c r="I20" s="14" t="s">
        <v>38</v>
      </c>
      <c r="J20" s="14" t="s">
        <v>172</v>
      </c>
      <c r="K20" s="14" t="s">
        <v>42</v>
      </c>
      <c r="L20" s="14" t="s">
        <v>43</v>
      </c>
      <c r="M20" s="14" t="s">
        <v>173</v>
      </c>
      <c r="N20" s="14" t="s">
        <v>45</v>
      </c>
      <c r="O20" s="20"/>
      <c r="P20" s="21">
        <f>IF(LEN(SUBSTITUTE($O20," ",""))=44,MID(SUBSTITUTE($O20," ",""),7,2)&amp;"."&amp;MID(SUBSTITUTE($O20," ",""),9,3)&amp;"."&amp;MID(SUBSTITUTE($O20," ",""),12,3)&amp;"/"&amp;MID(SUBSTITUTE($O20," ",""),15,4)&amp;"-"&amp;MID(SUBSTITUTE($O20," ",""),19,2),"")</f>
      </c>
      <c r="Q20" s="21">
        <f>IF(LEN(SUBSTITUTE($O20," ",""))=44,HYPERLINK("https://cnpja.com/office/"&amp;MID(SUBSTITUTE($O20," ",""),7,14),"Consultar emitente"),"")</f>
      </c>
      <c r="R20" s="22"/>
      <c r="S20" s="22"/>
      <c r="T20" s="22"/>
      <c r="U20" s="22"/>
      <c r="V20" s="22"/>
      <c r="W20" s="23" t="s">
        <v>46</v>
      </c>
      <c r="X20" s="14" t="s">
        <v>47</v>
      </c>
      <c r="Y20" s="14" t="s">
        <v>38</v>
      </c>
      <c r="Z20" s="14" t="s">
        <v>48</v>
      </c>
      <c r="AA20" s="14" t="s">
        <v>49</v>
      </c>
      <c r="AB20" s="22"/>
    </row>
    <row r="21" ht="75.5" customHeight="1" spans="1:28" x14ac:dyDescent="0.25">
      <c r="A21" s="13" t="s">
        <v>174</v>
      </c>
      <c r="B21" s="14" t="s">
        <v>170</v>
      </c>
      <c r="C21" s="15" t="s">
        <v>37</v>
      </c>
      <c r="D21" s="16" t="s">
        <v>38</v>
      </c>
      <c r="E21" s="17" t="s">
        <v>175</v>
      </c>
      <c r="F21" s="18">
        <v>46153.625</v>
      </c>
      <c r="G21" s="19">
        <v>278.56</v>
      </c>
      <c r="H21" s="14" t="s">
        <v>40</v>
      </c>
      <c r="I21" s="14" t="s">
        <v>38</v>
      </c>
      <c r="J21" s="14" t="s">
        <v>176</v>
      </c>
      <c r="K21" s="14" t="s">
        <v>42</v>
      </c>
      <c r="L21" s="14" t="s">
        <v>43</v>
      </c>
      <c r="M21" s="14" t="s">
        <v>177</v>
      </c>
      <c r="N21" s="14" t="s">
        <v>45</v>
      </c>
      <c r="O21" s="20"/>
      <c r="P21" s="21">
        <f>IF(LEN(SUBSTITUTE($O21," ",""))=44,MID(SUBSTITUTE($O21," ",""),7,2)&amp;"."&amp;MID(SUBSTITUTE($O21," ",""),9,3)&amp;"."&amp;MID(SUBSTITUTE($O21," ",""),12,3)&amp;"/"&amp;MID(SUBSTITUTE($O21," ",""),15,4)&amp;"-"&amp;MID(SUBSTITUTE($O21," ",""),19,2),"")</f>
      </c>
      <c r="Q21" s="21">
        <f>IF(LEN(SUBSTITUTE($O21," ",""))=44,HYPERLINK("https://cnpja.com/office/"&amp;MID(SUBSTITUTE($O21," ",""),7,14),"Consultar emitente"),"")</f>
      </c>
      <c r="R21" s="22"/>
      <c r="S21" s="22"/>
      <c r="T21" s="22"/>
      <c r="U21" s="22"/>
      <c r="V21" s="22"/>
      <c r="W21" s="23" t="s">
        <v>46</v>
      </c>
      <c r="X21" s="14" t="s">
        <v>47</v>
      </c>
      <c r="Y21" s="14" t="s">
        <v>38</v>
      </c>
      <c r="Z21" s="14" t="s">
        <v>48</v>
      </c>
      <c r="AA21" s="14" t="s">
        <v>49</v>
      </c>
      <c r="AB21" s="22"/>
    </row>
    <row r="23" spans="2:7" x14ac:dyDescent="0.25">
      <c r="B23" s="27" t="s">
        <v>178</v>
      </c>
      <c r="G23" s="28">
        <f>SUM(G5:G21)</f>
      </c>
    </row>
  </sheetData>
  <autoFilter ref="A4:AB21"/>
  <mergeCells count="7">
    <mergeCell ref="A1:AB1"/>
    <mergeCell ref="A2:AB2"/>
    <mergeCell ref="A3:N3"/>
    <mergeCell ref="O3:Q3"/>
    <mergeCell ref="R3:V3"/>
    <mergeCell ref="W3:Y3"/>
    <mergeCell ref="Z3:AB3"/>
  </mergeCells>
  <conditionalFormatting sqref="S5:S21">
    <cfRule type="expression" dxfId="0" priority="1">
      <formula>AND($R5="Oferta para a Igreja",$S5="")</formula>
    </cfRule>
    <cfRule type="expression" dxfId="1" priority="2">
      <formula>$R5&lt;&gt;"Oferta para a Igreja"</formula>
    </cfRule>
  </conditionalFormatting>
  <conditionalFormatting sqref="T5:T21">
    <cfRule type="expression" dxfId="2" priority="1">
      <formula>AND($R5="Reembolso",$T5="")</formula>
    </cfRule>
    <cfRule type="expression" dxfId="3" priority="2">
      <formula>$R5&lt;&gt;"Reembolso"</formula>
    </cfRule>
  </conditionalFormatting>
  <conditionalFormatting sqref="U5:U21">
    <cfRule type="expression" dxfId="4" priority="1">
      <formula>AND($R5="Reembolso",$U5="")</formula>
    </cfRule>
    <cfRule type="expression" dxfId="5" priority="2">
      <formula>$R5&lt;&gt;"Reembolso"</formula>
    </cfRule>
  </conditionalFormatting>
  <conditionalFormatting sqref="V5:V21">
    <cfRule type="expression" dxfId="6" priority="1">
      <formula>AND($R5="Pago de Outra Forma",$V5="")</formula>
    </cfRule>
    <cfRule type="expression" dxfId="7" priority="2">
      <formula>$R5&lt;&gt;"Pago de Outra Forma"</formula>
    </cfRule>
  </conditionalFormatting>
  <conditionalFormatting sqref="R5:R21">
    <cfRule type="expression" dxfId="8" priority="3">
      <formula>$R5=""</formula>
    </cfRule>
  </conditionalFormatting>
  <dataValidations count="6">
    <dataValidation type="list" allowBlank="1" showErrorMessage="1" errorTitle="Valor inválido" error="Escolha uma das opções da lista." sqref="R10:R21">
      <formula1>"Oferta para a Igreja,Reembolso,Pago de Outra Forma,NF Cancelada,Precisa Investigar"</formula1>
    </dataValidation>
    <dataValidation type="list" allowBlank="1" showErrorMessage="1" errorTitle="Valor inválido" error="Escolha uma das opções da lista." sqref="R5:R21">
      <formula1>"Oferta para a Igreja,Reembolso,Pago de Outra Forma,NF Cancelada,Precisa Investigar"</formula1>
    </dataValidation>
    <dataValidation type="list" allowBlank="1" showErrorMessage="1" errorTitle="Valor inválido" error="Escolha uma das opções da lista." sqref="U10:U21">
      <formula1>"Sim,Não"</formula1>
    </dataValidation>
    <dataValidation type="list" allowBlank="1" showErrorMessage="1" errorTitle="Valor inválido" error="Escolha uma das opções da lista." sqref="U5:U21">
      <formula1>"Sim,Não"</formula1>
    </dataValidation>
    <dataValidation type="list" allowBlank="1" showErrorMessage="1" errorTitle="Valor inválido" error="Escolha uma das opções da lista." sqref="V10:V21">
      <formula1>"PIX,TED,Dinheiro,Cartão,Outro"</formula1>
    </dataValidation>
    <dataValidation type="list" allowBlank="1" showErrorMessage="1" errorTitle="Valor inválido" error="Escolha uma das opções da lista." sqref="V5:V21">
      <formula1>"PIX,TED,Dinheiro,Cartão,Outro"</formula1>
    </dataValidation>
  </dataValidations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32"/>
  </sheetPr>
  <dimension ref="A1:D22"/>
  <sheetViews>
    <sheetView workbookViewId="0" showGridLines="0"/>
  </sheetViews>
  <sheetFormatPr defaultRowHeight="15" outlineLevelRow="0" outlineLevelCol="0" x14ac:dyDescent="55"/>
  <cols>
    <col min="1" max="1" width="52" customWidth="1"/>
    <col min="2" max="2" width="10" customWidth="1"/>
    <col min="3" max="3" width="16" customWidth="1"/>
    <col min="4" max="4" width="60" customWidth="1"/>
  </cols>
  <sheetData>
    <row r="1" spans="1:1" x14ac:dyDescent="0.25">
      <c r="A1" s="1" t="s">
        <v>179</v>
      </c>
    </row>
    <row r="3" spans="1:4" x14ac:dyDescent="0.25">
      <c r="A3" s="29" t="s">
        <v>180</v>
      </c>
      <c r="B3" s="29" t="s">
        <v>181</v>
      </c>
      <c r="C3" s="29" t="s">
        <v>13</v>
      </c>
      <c r="D3" s="29" t="s">
        <v>182</v>
      </c>
    </row>
    <row r="4" ht="54" customHeight="1" spans="1:4" x14ac:dyDescent="0.25">
      <c r="A4" s="26" t="s">
        <v>183</v>
      </c>
      <c r="B4" s="14">
        <f>COUNTIF(Decisão!$W$5:$W$21,"Automática pela pasta")</f>
      </c>
      <c r="C4" s="19">
        <f>SUMIF(Decisão!$W$5:$W$21,"Automática pela pasta",Decisão!$G$5:$G$21)</f>
      </c>
      <c r="D4" s="14" t="s">
        <v>184</v>
      </c>
    </row>
    <row r="5" ht="30" customHeight="1" spans="1:4" x14ac:dyDescent="0.25">
      <c r="A5" s="22" t="s">
        <v>185</v>
      </c>
      <c r="B5" s="14">
        <f>COUNTIF(Decisão!$W$5:$W$21,"Aguarda decisão da igreja")</f>
      </c>
      <c r="C5" s="19">
        <f>SUMIF(Decisão!$W$5:$W$21,"Aguarda decisão da igreja",Decisão!$G$5:$G$21)</f>
      </c>
      <c r="D5" s="14" t="s">
        <v>186</v>
      </c>
    </row>
    <row r="6" spans="1:4" x14ac:dyDescent="0.25">
      <c r="A6" s="13" t="s">
        <v>187</v>
      </c>
      <c r="B6" s="13">
        <f>B4+B5</f>
      </c>
      <c r="C6" s="30">
        <f>C4+C5</f>
      </c>
      <c r="D6" s="13" t="s">
        <v>188</v>
      </c>
    </row>
    <row r="8" spans="1:1" x14ac:dyDescent="0.25">
      <c r="A8" s="31" t="s">
        <v>189</v>
      </c>
    </row>
    <row r="9" spans="1:3" x14ac:dyDescent="0.25">
      <c r="A9" s="32" t="s">
        <v>128</v>
      </c>
      <c r="B9" s="32">
        <f>COUNTIF(Decisão!$R$5:$R$21,A9)</f>
      </c>
      <c r="C9" s="33">
        <f>SUMIF(Decisão!$R$5:$R$21,A9,Decisão!$G$5:$G$21)</f>
      </c>
    </row>
    <row r="10" spans="1:3" x14ac:dyDescent="0.25">
      <c r="A10" s="32" t="s">
        <v>190</v>
      </c>
      <c r="B10" s="32">
        <f>COUNTIF(Decisão!$R$5:$R$21,A10)</f>
      </c>
      <c r="C10" s="33">
        <f>SUMIF(Decisão!$R$5:$R$21,A10,Decisão!$G$5:$G$21)</f>
      </c>
    </row>
    <row r="11" spans="1:3" x14ac:dyDescent="0.25">
      <c r="A11" s="32" t="s">
        <v>96</v>
      </c>
      <c r="B11" s="32">
        <f>COUNTIF(Decisão!$R$5:$R$21,A11)</f>
      </c>
      <c r="C11" s="33">
        <f>SUMIF(Decisão!$R$5:$R$21,A11,Decisão!$G$5:$G$21)</f>
      </c>
    </row>
    <row r="12" spans="1:3" x14ac:dyDescent="0.25">
      <c r="A12" s="32" t="s">
        <v>142</v>
      </c>
      <c r="B12" s="32">
        <f>COUNTIF(Decisão!$R$5:$R$21,A12)</f>
      </c>
      <c r="C12" s="33">
        <f>SUMIF(Decisão!$R$5:$R$21,A12,Decisão!$G$5:$G$21)</f>
      </c>
    </row>
    <row r="13" spans="1:3" x14ac:dyDescent="0.25">
      <c r="A13" s="32" t="s">
        <v>191</v>
      </c>
      <c r="B13" s="32">
        <f>COUNTIF(Decisão!$R$5:$R$21,A13)</f>
      </c>
      <c r="C13" s="33">
        <f>SUMIF(Decisão!$R$5:$R$21,A13,Decisão!$G$5:$G$21)</f>
      </c>
    </row>
    <row r="14" spans="1:3" x14ac:dyDescent="0.25">
      <c r="A14" s="32" t="s">
        <v>192</v>
      </c>
      <c r="B14" s="32">
        <f>COUNTBLANK(Decisão!$R$5:$R$21)</f>
      </c>
      <c r="C14" s="33">
        <f>SUMIF(Decisão!$R$5:$R$21,"",Decisão!$G$5:$G$21)</f>
      </c>
    </row>
    <row r="16" spans="1:1" x14ac:dyDescent="0.25">
      <c r="A16" s="31" t="s">
        <v>193</v>
      </c>
    </row>
    <row r="17" spans="1:2" x14ac:dyDescent="0.25">
      <c r="A17" s="32" t="s">
        <v>194</v>
      </c>
      <c r="B17" s="32">
        <f>COUNTIF(Decisão!$Z$5:$Z$21,"*Decisão*")</f>
      </c>
    </row>
    <row r="18" spans="1:2" x14ac:dyDescent="0.25">
      <c r="A18" s="32" t="s">
        <v>195</v>
      </c>
      <c r="B18" s="32">
        <f>COUNTIF(Decisão!$Z$5:$Z$21,"*Documento*")</f>
      </c>
    </row>
    <row r="19" spans="1:2" x14ac:dyDescent="0.25">
      <c r="A19" s="32" t="s">
        <v>196</v>
      </c>
      <c r="B19" s="32">
        <f>COUNTIF(Decisão!$Z$5:$Z$21,"*Resposta ao escritório*")</f>
      </c>
    </row>
    <row r="20" spans="1:2" x14ac:dyDescent="0.25">
      <c r="A20" s="32" t="s">
        <v>197</v>
      </c>
      <c r="B20" s="32">
        <f>COUNTIF(Decisão!$Z$5:$Z$21,"*Resposta do escritório*")</f>
      </c>
    </row>
    <row r="22" spans="1:1" x14ac:dyDescent="0.25">
      <c r="A22" s="34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32"/>
  </sheetPr>
  <dimension ref="A1:I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10" customWidth="1"/>
    <col min="4" max="4" width="12" customWidth="1"/>
    <col min="5" max="5" width="22" customWidth="1"/>
    <col min="6" max="6" width="30" customWidth="1"/>
    <col min="7" max="7" width="70" customWidth="1"/>
    <col min="8" max="8" width="64" customWidth="1"/>
    <col min="9" max="9" width="60" customWidth="1"/>
  </cols>
  <sheetData>
    <row r="1" spans="1:9" x14ac:dyDescent="0.25">
      <c r="A1" s="35" t="s">
        <v>199</v>
      </c>
      <c r="B1" s="35"/>
      <c r="C1" s="35"/>
      <c r="D1" s="35"/>
      <c r="E1" s="35"/>
      <c r="F1" s="35"/>
      <c r="G1" s="35"/>
      <c r="H1" s="35"/>
      <c r="I1" s="35"/>
    </row>
    <row r="3" ht="30" customHeight="1" spans="1:9" x14ac:dyDescent="0.25">
      <c r="A3" s="36" t="s">
        <v>7</v>
      </c>
      <c r="B3" s="36" t="s">
        <v>8</v>
      </c>
      <c r="C3" s="36" t="s">
        <v>200</v>
      </c>
      <c r="D3" s="36" t="s">
        <v>13</v>
      </c>
      <c r="E3" s="36" t="s">
        <v>24</v>
      </c>
      <c r="F3" s="36" t="s">
        <v>201</v>
      </c>
      <c r="G3" s="36" t="s">
        <v>30</v>
      </c>
      <c r="H3" s="36" t="s">
        <v>31</v>
      </c>
      <c r="I3" s="36" t="s">
        <v>33</v>
      </c>
    </row>
    <row r="4" ht="80" customHeight="1" spans="1:9" x14ac:dyDescent="0.25">
      <c r="A4" s="13" t="s">
        <v>83</v>
      </c>
      <c r="B4" s="14" t="s">
        <v>84</v>
      </c>
      <c r="C4" s="14" t="s">
        <v>87</v>
      </c>
      <c r="D4" s="14">
        <v>255.3</v>
      </c>
      <c r="E4" s="14" t="s">
        <v>96</v>
      </c>
      <c r="F4" s="14" t="s">
        <v>97</v>
      </c>
      <c r="G4" s="14" t="s">
        <v>99</v>
      </c>
      <c r="H4" s="14" t="s">
        <v>100</v>
      </c>
      <c r="I4" s="14" t="s">
        <v>102</v>
      </c>
    </row>
    <row r="5" ht="80" customHeight="1" spans="1:9" x14ac:dyDescent="0.25">
      <c r="A5" s="13" t="s">
        <v>116</v>
      </c>
      <c r="B5" s="14" t="s">
        <v>117</v>
      </c>
      <c r="C5" s="14" t="s">
        <v>120</v>
      </c>
      <c r="D5" s="14">
        <v>137.28</v>
      </c>
      <c r="E5" s="14" t="s">
        <v>128</v>
      </c>
      <c r="F5" s="14" t="s">
        <v>129</v>
      </c>
      <c r="G5" s="14" t="s">
        <v>130</v>
      </c>
      <c r="H5" s="14" t="s">
        <v>131</v>
      </c>
      <c r="I5" s="14" t="s">
        <v>133</v>
      </c>
    </row>
    <row r="6" ht="80" customHeight="1" spans="1:9" x14ac:dyDescent="0.25">
      <c r="A6" s="13" t="s">
        <v>134</v>
      </c>
      <c r="B6" s="14" t="s">
        <v>135</v>
      </c>
      <c r="C6" s="14" t="s">
        <v>136</v>
      </c>
      <c r="D6" s="14">
        <v>150</v>
      </c>
      <c r="E6" s="14" t="s">
        <v>142</v>
      </c>
      <c r="F6" s="14" t="s">
        <v>38</v>
      </c>
      <c r="G6" s="14" t="s">
        <v>143</v>
      </c>
      <c r="H6" s="14" t="s">
        <v>144</v>
      </c>
      <c r="I6" s="14" t="s">
        <v>145</v>
      </c>
    </row>
    <row r="7" ht="80" customHeight="1" spans="1:9" x14ac:dyDescent="0.25">
      <c r="A7" s="13" t="s">
        <v>151</v>
      </c>
      <c r="B7" s="14" t="s">
        <v>152</v>
      </c>
      <c r="C7" s="14" t="s">
        <v>155</v>
      </c>
      <c r="D7" s="14">
        <v>445.1</v>
      </c>
      <c r="E7" s="14" t="s">
        <v>96</v>
      </c>
      <c r="F7" s="14" t="s">
        <v>97</v>
      </c>
      <c r="G7" s="14" t="s">
        <v>161</v>
      </c>
      <c r="H7" s="14" t="s">
        <v>162</v>
      </c>
      <c r="I7" s="14" t="s">
        <v>163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A1B9A"/>
  </sheetPr>
  <dimension ref="A1:G1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0" customWidth="1"/>
    <col min="3" max="3" width="10" customWidth="1"/>
    <col min="4" max="4" width="11" customWidth="1"/>
    <col min="5" max="5" width="12" customWidth="1"/>
    <col min="6" max="6" width="70" customWidth="1"/>
    <col min="7" max="7" width="40" customWidth="1"/>
  </cols>
  <sheetData>
    <row r="1" spans="1:7" x14ac:dyDescent="0.25">
      <c r="A1" s="35" t="s">
        <v>202</v>
      </c>
      <c r="B1" s="35"/>
      <c r="C1" s="35"/>
      <c r="D1" s="35"/>
      <c r="E1" s="35"/>
      <c r="F1" s="35"/>
      <c r="G1" s="35"/>
    </row>
    <row r="3" ht="30" customHeight="1" spans="1:7" x14ac:dyDescent="0.25">
      <c r="A3" s="36" t="s">
        <v>7</v>
      </c>
      <c r="B3" s="36" t="s">
        <v>8</v>
      </c>
      <c r="C3" s="36" t="s">
        <v>200</v>
      </c>
      <c r="D3" s="36" t="s">
        <v>12</v>
      </c>
      <c r="E3" s="36" t="s">
        <v>13</v>
      </c>
      <c r="F3" s="36" t="s">
        <v>203</v>
      </c>
      <c r="G3" s="36" t="s">
        <v>204</v>
      </c>
    </row>
    <row r="4" ht="80" customHeight="1" spans="1:7" x14ac:dyDescent="0.25">
      <c r="A4" s="13" t="s">
        <v>35</v>
      </c>
      <c r="B4" s="14" t="s">
        <v>36</v>
      </c>
      <c r="C4" s="14" t="s">
        <v>39</v>
      </c>
      <c r="D4" s="37">
        <v>45955.625</v>
      </c>
      <c r="E4" s="14">
        <v>125.88</v>
      </c>
      <c r="F4" s="14" t="s">
        <v>47</v>
      </c>
      <c r="G4" s="14" t="s">
        <v>205</v>
      </c>
    </row>
    <row r="5" ht="80" customHeight="1" spans="1:7" x14ac:dyDescent="0.25">
      <c r="A5" s="13" t="s">
        <v>50</v>
      </c>
      <c r="B5" s="14" t="s">
        <v>51</v>
      </c>
      <c r="C5" s="14" t="s">
        <v>54</v>
      </c>
      <c r="D5" s="37">
        <v>45957.625</v>
      </c>
      <c r="E5" s="14">
        <v>84.2</v>
      </c>
      <c r="F5" s="14" t="s">
        <v>47</v>
      </c>
      <c r="G5" s="14" t="s">
        <v>206</v>
      </c>
    </row>
    <row r="6" ht="80" customHeight="1" spans="1:7" x14ac:dyDescent="0.25">
      <c r="A6" s="13" t="s">
        <v>58</v>
      </c>
      <c r="B6" s="14" t="s">
        <v>59</v>
      </c>
      <c r="C6" s="14" t="s">
        <v>60</v>
      </c>
      <c r="D6" s="37">
        <v>45958.625</v>
      </c>
      <c r="E6" s="14">
        <v>25</v>
      </c>
      <c r="F6" s="14" t="s">
        <v>47</v>
      </c>
      <c r="G6" s="14" t="s">
        <v>207</v>
      </c>
    </row>
    <row r="7" ht="80" customHeight="1" spans="1:7" x14ac:dyDescent="0.25">
      <c r="A7" s="13" t="s">
        <v>63</v>
      </c>
      <c r="B7" s="14" t="s">
        <v>64</v>
      </c>
      <c r="C7" s="14" t="s">
        <v>65</v>
      </c>
      <c r="D7" s="37">
        <v>45959.625</v>
      </c>
      <c r="E7" s="14">
        <v>25.98</v>
      </c>
      <c r="F7" s="14" t="s">
        <v>47</v>
      </c>
      <c r="G7" s="14" t="s">
        <v>208</v>
      </c>
    </row>
    <row r="8" ht="80" customHeight="1" spans="1:7" x14ac:dyDescent="0.25">
      <c r="A8" s="13" t="s">
        <v>68</v>
      </c>
      <c r="B8" s="14" t="s">
        <v>69</v>
      </c>
      <c r="C8" s="14" t="s">
        <v>70</v>
      </c>
      <c r="D8" s="37">
        <v>45980.625</v>
      </c>
      <c r="E8" s="14">
        <v>112.22</v>
      </c>
      <c r="F8" s="14" t="s">
        <v>47</v>
      </c>
      <c r="G8" s="14" t="s">
        <v>209</v>
      </c>
    </row>
    <row r="9" ht="80" customHeight="1" spans="1:7" x14ac:dyDescent="0.25">
      <c r="A9" s="13" t="s">
        <v>73</v>
      </c>
      <c r="B9" s="14" t="s">
        <v>74</v>
      </c>
      <c r="C9" s="14" t="s">
        <v>75</v>
      </c>
      <c r="D9" s="37">
        <v>46130.625</v>
      </c>
      <c r="E9" s="14">
        <v>143</v>
      </c>
      <c r="F9" s="14" t="s">
        <v>47</v>
      </c>
      <c r="G9" s="14" t="s">
        <v>210</v>
      </c>
    </row>
    <row r="10" ht="80" customHeight="1" spans="1:7" x14ac:dyDescent="0.25">
      <c r="A10" s="13" t="s">
        <v>78</v>
      </c>
      <c r="B10" s="14" t="s">
        <v>79</v>
      </c>
      <c r="C10" s="14" t="s">
        <v>80</v>
      </c>
      <c r="D10" s="37">
        <v>46140.625</v>
      </c>
      <c r="E10" s="14">
        <v>104.4</v>
      </c>
      <c r="F10" s="14" t="s">
        <v>47</v>
      </c>
      <c r="G10" s="14" t="s">
        <v>211</v>
      </c>
    </row>
    <row r="11" ht="80" customHeight="1" spans="1:7" x14ac:dyDescent="0.25">
      <c r="A11" s="13" t="s">
        <v>103</v>
      </c>
      <c r="B11" s="14" t="s">
        <v>104</v>
      </c>
      <c r="C11" s="14" t="s">
        <v>105</v>
      </c>
      <c r="D11" s="37">
        <v>46260.625</v>
      </c>
      <c r="E11" s="14">
        <v>149.38</v>
      </c>
      <c r="F11" s="14" t="s">
        <v>47</v>
      </c>
      <c r="G11" s="14" t="s">
        <v>212</v>
      </c>
    </row>
    <row r="12" ht="80" customHeight="1" spans="1:7" x14ac:dyDescent="0.25">
      <c r="A12" s="13" t="s">
        <v>108</v>
      </c>
      <c r="B12" s="14" t="s">
        <v>109</v>
      </c>
      <c r="C12" s="14" t="s">
        <v>112</v>
      </c>
      <c r="D12" s="37">
        <v>46265.625</v>
      </c>
      <c r="E12" s="14">
        <v>443.95</v>
      </c>
      <c r="F12" s="14" t="s">
        <v>47</v>
      </c>
      <c r="G12" s="14" t="s">
        <v>213</v>
      </c>
    </row>
    <row r="13" ht="80" customHeight="1" spans="1:7" x14ac:dyDescent="0.25">
      <c r="A13" s="13" t="s">
        <v>146</v>
      </c>
      <c r="B13" s="14" t="s">
        <v>147</v>
      </c>
      <c r="C13" s="14" t="s">
        <v>148</v>
      </c>
      <c r="D13" s="37">
        <v>45898.625</v>
      </c>
      <c r="E13" s="14">
        <v>161.3</v>
      </c>
      <c r="F13" s="14" t="s">
        <v>47</v>
      </c>
      <c r="G13" s="14" t="s">
        <v>214</v>
      </c>
    </row>
    <row r="14" ht="80" customHeight="1" spans="1:7" x14ac:dyDescent="0.25">
      <c r="A14" s="13" t="s">
        <v>164</v>
      </c>
      <c r="B14" s="14" t="s">
        <v>165</v>
      </c>
      <c r="C14" s="14" t="s">
        <v>166</v>
      </c>
      <c r="D14" s="37">
        <v>45996.625</v>
      </c>
      <c r="E14" s="14">
        <v>50</v>
      </c>
      <c r="F14" s="14" t="s">
        <v>47</v>
      </c>
      <c r="G14" s="14" t="s">
        <v>215</v>
      </c>
    </row>
    <row r="15" ht="80" customHeight="1" spans="1:7" x14ac:dyDescent="0.25">
      <c r="A15" s="13" t="s">
        <v>169</v>
      </c>
      <c r="B15" s="14" t="s">
        <v>170</v>
      </c>
      <c r="C15" s="14" t="s">
        <v>171</v>
      </c>
      <c r="D15" s="37">
        <v>46147.625</v>
      </c>
      <c r="E15" s="14">
        <v>258.63</v>
      </c>
      <c r="F15" s="14" t="s">
        <v>47</v>
      </c>
      <c r="G15" s="14" t="s">
        <v>216</v>
      </c>
    </row>
    <row r="16" ht="80" customHeight="1" spans="1:7" x14ac:dyDescent="0.25">
      <c r="A16" s="13" t="s">
        <v>174</v>
      </c>
      <c r="B16" s="14" t="s">
        <v>170</v>
      </c>
      <c r="C16" s="14" t="s">
        <v>175</v>
      </c>
      <c r="D16" s="37">
        <v>46153.625</v>
      </c>
      <c r="E16" s="14">
        <v>278.56</v>
      </c>
      <c r="F16" s="14" t="s">
        <v>47</v>
      </c>
      <c r="G16" s="14" t="s">
        <v>216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62828"/>
  </sheetPr>
  <dimension ref="A1:F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10" customWidth="1"/>
    <col min="4" max="4" width="12" customWidth="1"/>
    <col min="5" max="5" width="22" customWidth="1"/>
    <col min="6" max="6" width="80" customWidth="1"/>
  </cols>
  <sheetData>
    <row r="1" spans="1:6" x14ac:dyDescent="0.25">
      <c r="A1" s="35" t="s">
        <v>217</v>
      </c>
      <c r="B1" s="35"/>
      <c r="C1" s="35"/>
      <c r="D1" s="35"/>
      <c r="E1" s="35"/>
      <c r="F1" s="35"/>
    </row>
    <row r="3" ht="30" customHeight="1" spans="1:6" x14ac:dyDescent="0.25">
      <c r="A3" s="36" t="s">
        <v>7</v>
      </c>
      <c r="B3" s="36" t="s">
        <v>8</v>
      </c>
      <c r="C3" s="36" t="s">
        <v>200</v>
      </c>
      <c r="D3" s="36" t="s">
        <v>13</v>
      </c>
      <c r="E3" s="36" t="s">
        <v>24</v>
      </c>
      <c r="F3" s="36" t="s">
        <v>218</v>
      </c>
    </row>
    <row r="4" ht="80" customHeight="1" spans="1:6" x14ac:dyDescent="0.25">
      <c r="A4" s="13" t="s">
        <v>116</v>
      </c>
      <c r="B4" s="14" t="s">
        <v>117</v>
      </c>
      <c r="C4" s="14" t="s">
        <v>120</v>
      </c>
      <c r="D4" s="14">
        <v>137.28</v>
      </c>
      <c r="E4" s="14" t="s">
        <v>128</v>
      </c>
      <c r="F4" s="14" t="s">
        <v>133</v>
      </c>
    </row>
    <row r="5" ht="80" customHeight="1" spans="1:6" x14ac:dyDescent="0.25">
      <c r="A5" s="13" t="s">
        <v>134</v>
      </c>
      <c r="B5" s="14" t="s">
        <v>135</v>
      </c>
      <c r="C5" s="14" t="s">
        <v>136</v>
      </c>
      <c r="D5" s="14">
        <v>150</v>
      </c>
      <c r="E5" s="14" t="s">
        <v>142</v>
      </c>
      <c r="F5" s="14" t="s">
        <v>145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F2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10" customWidth="1"/>
    <col min="4" max="4" width="12" customWidth="1"/>
    <col min="5" max="5" width="34" customWidth="1"/>
    <col min="6" max="6" width="90" customWidth="1"/>
  </cols>
  <sheetData>
    <row r="1" spans="1:6" x14ac:dyDescent="0.25">
      <c r="A1" s="35" t="s">
        <v>219</v>
      </c>
      <c r="B1" s="35"/>
      <c r="C1" s="35"/>
      <c r="D1" s="35"/>
      <c r="E1" s="35"/>
      <c r="F1" s="35"/>
    </row>
    <row r="3" ht="30" customHeight="1" spans="1:6" x14ac:dyDescent="0.25">
      <c r="A3" s="36" t="s">
        <v>7</v>
      </c>
      <c r="B3" s="36" t="s">
        <v>8</v>
      </c>
      <c r="C3" s="36" t="s">
        <v>200</v>
      </c>
      <c r="D3" s="36" t="s">
        <v>13</v>
      </c>
      <c r="E3" s="36" t="s">
        <v>220</v>
      </c>
      <c r="F3" s="36" t="s">
        <v>221</v>
      </c>
    </row>
    <row r="4" ht="80" customHeight="1" spans="1:6" x14ac:dyDescent="0.25">
      <c r="A4" s="13" t="s">
        <v>35</v>
      </c>
      <c r="B4" s="14" t="s">
        <v>36</v>
      </c>
      <c r="C4" s="14" t="s">
        <v>39</v>
      </c>
      <c r="D4" s="14">
        <v>125.88</v>
      </c>
      <c r="E4" s="14" t="s">
        <v>222</v>
      </c>
      <c r="F4" s="14" t="s">
        <v>223</v>
      </c>
    </row>
    <row r="5" ht="80" customHeight="1" spans="1:6" x14ac:dyDescent="0.25">
      <c r="A5" s="13" t="s">
        <v>50</v>
      </c>
      <c r="B5" s="14" t="s">
        <v>51</v>
      </c>
      <c r="C5" s="14" t="s">
        <v>54</v>
      </c>
      <c r="D5" s="14">
        <v>84.2</v>
      </c>
      <c r="E5" s="14" t="s">
        <v>222</v>
      </c>
      <c r="F5" s="14" t="s">
        <v>223</v>
      </c>
    </row>
    <row r="6" ht="80" customHeight="1" spans="1:6" x14ac:dyDescent="0.25">
      <c r="A6" s="13" t="s">
        <v>58</v>
      </c>
      <c r="B6" s="14" t="s">
        <v>59</v>
      </c>
      <c r="C6" s="14" t="s">
        <v>60</v>
      </c>
      <c r="D6" s="14">
        <v>25</v>
      </c>
      <c r="E6" s="14" t="s">
        <v>222</v>
      </c>
      <c r="F6" s="14" t="s">
        <v>223</v>
      </c>
    </row>
    <row r="7" ht="80" customHeight="1" spans="1:6" x14ac:dyDescent="0.25">
      <c r="A7" s="13" t="s">
        <v>63</v>
      </c>
      <c r="B7" s="14" t="s">
        <v>64</v>
      </c>
      <c r="C7" s="14" t="s">
        <v>65</v>
      </c>
      <c r="D7" s="14">
        <v>25.98</v>
      </c>
      <c r="E7" s="14" t="s">
        <v>222</v>
      </c>
      <c r="F7" s="14" t="s">
        <v>223</v>
      </c>
    </row>
    <row r="8" ht="80" customHeight="1" spans="1:6" x14ac:dyDescent="0.25">
      <c r="A8" s="13" t="s">
        <v>68</v>
      </c>
      <c r="B8" s="14" t="s">
        <v>69</v>
      </c>
      <c r="C8" s="14" t="s">
        <v>70</v>
      </c>
      <c r="D8" s="14">
        <v>112.22</v>
      </c>
      <c r="E8" s="14" t="s">
        <v>222</v>
      </c>
      <c r="F8" s="14" t="s">
        <v>223</v>
      </c>
    </row>
    <row r="9" ht="80" customHeight="1" spans="1:6" x14ac:dyDescent="0.25">
      <c r="A9" s="13" t="s">
        <v>73</v>
      </c>
      <c r="B9" s="14" t="s">
        <v>74</v>
      </c>
      <c r="C9" s="14" t="s">
        <v>75</v>
      </c>
      <c r="D9" s="14">
        <v>143</v>
      </c>
      <c r="E9" s="14" t="s">
        <v>222</v>
      </c>
      <c r="F9" s="14" t="s">
        <v>223</v>
      </c>
    </row>
    <row r="10" ht="80" customHeight="1" spans="1:6" x14ac:dyDescent="0.25">
      <c r="A10" s="13" t="s">
        <v>78</v>
      </c>
      <c r="B10" s="14" t="s">
        <v>79</v>
      </c>
      <c r="C10" s="14" t="s">
        <v>80</v>
      </c>
      <c r="D10" s="14">
        <v>104.4</v>
      </c>
      <c r="E10" s="14" t="s">
        <v>222</v>
      </c>
      <c r="F10" s="14" t="s">
        <v>223</v>
      </c>
    </row>
    <row r="11" ht="80" customHeight="1" spans="1:6" x14ac:dyDescent="0.25">
      <c r="A11" s="13" t="s">
        <v>83</v>
      </c>
      <c r="B11" s="14" t="s">
        <v>84</v>
      </c>
      <c r="C11" s="14" t="s">
        <v>87</v>
      </c>
      <c r="D11" s="14">
        <v>255.3</v>
      </c>
      <c r="E11" s="14" t="s">
        <v>224</v>
      </c>
      <c r="F11" s="14" t="s">
        <v>102</v>
      </c>
    </row>
    <row r="12" ht="80" customHeight="1" spans="1:6" x14ac:dyDescent="0.25">
      <c r="A12" s="13" t="s">
        <v>103</v>
      </c>
      <c r="B12" s="14" t="s">
        <v>104</v>
      </c>
      <c r="C12" s="14" t="s">
        <v>105</v>
      </c>
      <c r="D12" s="14">
        <v>149.38</v>
      </c>
      <c r="E12" s="14" t="s">
        <v>222</v>
      </c>
      <c r="F12" s="14" t="s">
        <v>223</v>
      </c>
    </row>
    <row r="13" ht="80" customHeight="1" spans="1:6" x14ac:dyDescent="0.25">
      <c r="A13" s="13" t="s">
        <v>108</v>
      </c>
      <c r="B13" s="14" t="s">
        <v>109</v>
      </c>
      <c r="C13" s="14" t="s">
        <v>112</v>
      </c>
      <c r="D13" s="14">
        <v>443.95</v>
      </c>
      <c r="E13" s="14" t="s">
        <v>222</v>
      </c>
      <c r="F13" s="14" t="s">
        <v>223</v>
      </c>
    </row>
    <row r="14" ht="80" customHeight="1" spans="1:6" x14ac:dyDescent="0.25">
      <c r="A14" s="13" t="s">
        <v>116</v>
      </c>
      <c r="B14" s="14" t="s">
        <v>117</v>
      </c>
      <c r="C14" s="14" t="s">
        <v>120</v>
      </c>
      <c r="D14" s="14">
        <v>137.28</v>
      </c>
      <c r="E14" s="14" t="s">
        <v>224</v>
      </c>
      <c r="F14" s="14" t="s">
        <v>133</v>
      </c>
    </row>
    <row r="15" ht="80" customHeight="1" spans="1:6" x14ac:dyDescent="0.25">
      <c r="A15" s="13" t="s">
        <v>134</v>
      </c>
      <c r="B15" s="14" t="s">
        <v>135</v>
      </c>
      <c r="C15" s="14" t="s">
        <v>136</v>
      </c>
      <c r="D15" s="14">
        <v>150</v>
      </c>
      <c r="E15" s="14" t="s">
        <v>224</v>
      </c>
      <c r="F15" s="14" t="s">
        <v>145</v>
      </c>
    </row>
    <row r="16" ht="80" customHeight="1" spans="1:6" x14ac:dyDescent="0.25">
      <c r="A16" s="13" t="s">
        <v>146</v>
      </c>
      <c r="B16" s="14" t="s">
        <v>147</v>
      </c>
      <c r="C16" s="14" t="s">
        <v>148</v>
      </c>
      <c r="D16" s="14">
        <v>161.3</v>
      </c>
      <c r="E16" s="14" t="s">
        <v>222</v>
      </c>
      <c r="F16" s="14" t="s">
        <v>223</v>
      </c>
    </row>
    <row r="17" ht="80" customHeight="1" spans="1:6" x14ac:dyDescent="0.25">
      <c r="A17" s="13" t="s">
        <v>151</v>
      </c>
      <c r="B17" s="14" t="s">
        <v>152</v>
      </c>
      <c r="C17" s="14" t="s">
        <v>155</v>
      </c>
      <c r="D17" s="14">
        <v>445.1</v>
      </c>
      <c r="E17" s="14" t="s">
        <v>224</v>
      </c>
      <c r="F17" s="14" t="s">
        <v>163</v>
      </c>
    </row>
    <row r="18" ht="80" customHeight="1" spans="1:6" x14ac:dyDescent="0.25">
      <c r="A18" s="13" t="s">
        <v>164</v>
      </c>
      <c r="B18" s="14" t="s">
        <v>165</v>
      </c>
      <c r="C18" s="14" t="s">
        <v>166</v>
      </c>
      <c r="D18" s="14">
        <v>50</v>
      </c>
      <c r="E18" s="14" t="s">
        <v>222</v>
      </c>
      <c r="F18" s="14" t="s">
        <v>223</v>
      </c>
    </row>
    <row r="19" ht="80" customHeight="1" spans="1:6" x14ac:dyDescent="0.25">
      <c r="A19" s="13" t="s">
        <v>169</v>
      </c>
      <c r="B19" s="14" t="s">
        <v>170</v>
      </c>
      <c r="C19" s="14" t="s">
        <v>171</v>
      </c>
      <c r="D19" s="14">
        <v>258.63</v>
      </c>
      <c r="E19" s="14" t="s">
        <v>222</v>
      </c>
      <c r="F19" s="14" t="s">
        <v>223</v>
      </c>
    </row>
    <row r="20" ht="80" customHeight="1" spans="1:6" x14ac:dyDescent="0.25">
      <c r="A20" s="13" t="s">
        <v>174</v>
      </c>
      <c r="B20" s="14" t="s">
        <v>170</v>
      </c>
      <c r="C20" s="14" t="s">
        <v>175</v>
      </c>
      <c r="D20" s="14">
        <v>278.56</v>
      </c>
      <c r="E20" s="14" t="s">
        <v>222</v>
      </c>
      <c r="F20" s="14" t="s">
        <v>223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A1B9A"/>
  </sheetPr>
  <dimension ref="A1:F21"/>
  <sheetFormatPr defaultRowHeight="15" outlineLevelRow="0" outlineLevelCol="0" x14ac:dyDescent="55"/>
  <cols>
    <col min="1" max="1" width="8" customWidth="1"/>
    <col min="2" max="2" width="44" customWidth="1"/>
    <col min="3" max="3" width="11" customWidth="1"/>
    <col min="4" max="4" width="12" customWidth="1"/>
    <col min="5" max="5" width="13" customWidth="1"/>
    <col min="6" max="6" width="60" customWidth="1"/>
  </cols>
  <sheetData>
    <row r="1" spans="1:6" x14ac:dyDescent="0.25">
      <c r="A1" s="35" t="s">
        <v>225</v>
      </c>
      <c r="B1" s="35"/>
      <c r="C1" s="35"/>
      <c r="D1" s="35"/>
      <c r="E1" s="35"/>
      <c r="F1" s="35"/>
    </row>
    <row r="2" spans="1:6" x14ac:dyDescent="0.25">
      <c r="A2" s="38" t="s">
        <v>226</v>
      </c>
      <c r="B2" s="38"/>
      <c r="C2" s="38"/>
      <c r="D2" s="38"/>
      <c r="E2" s="38"/>
      <c r="F2" s="38"/>
    </row>
    <row r="3" spans="1:6" x14ac:dyDescent="0.25">
      <c r="A3" s="38"/>
      <c r="B3" s="38"/>
      <c r="C3" s="38"/>
      <c r="D3" s="38"/>
      <c r="E3" s="38"/>
      <c r="F3" s="38"/>
    </row>
    <row r="4" spans="1:6" x14ac:dyDescent="0.25">
      <c r="A4" s="38"/>
      <c r="B4" s="38"/>
      <c r="C4" s="38"/>
      <c r="D4" s="38"/>
      <c r="E4" s="38"/>
      <c r="F4" s="38"/>
    </row>
    <row r="5" spans="1:6" x14ac:dyDescent="0.25">
      <c r="A5" s="38"/>
      <c r="B5" s="38"/>
      <c r="C5" s="38"/>
      <c r="D5" s="38"/>
      <c r="E5" s="38"/>
      <c r="F5" s="38"/>
    </row>
    <row r="6" spans="1:6" x14ac:dyDescent="0.25">
      <c r="A6" s="38"/>
      <c r="B6" s="38"/>
      <c r="C6" s="38"/>
      <c r="D6" s="38"/>
      <c r="E6" s="38"/>
      <c r="F6" s="38"/>
    </row>
    <row r="8" spans="1:6" x14ac:dyDescent="0.25">
      <c r="A8" s="36" t="s">
        <v>7</v>
      </c>
      <c r="B8" s="36" t="s">
        <v>8</v>
      </c>
      <c r="C8" s="36" t="s">
        <v>11</v>
      </c>
      <c r="D8" s="36" t="s">
        <v>12</v>
      </c>
      <c r="E8" s="36" t="s">
        <v>13</v>
      </c>
      <c r="F8" s="36" t="s">
        <v>227</v>
      </c>
    </row>
    <row r="9" spans="1:6" x14ac:dyDescent="0.25">
      <c r="A9" s="32" t="s">
        <v>35</v>
      </c>
      <c r="B9" s="32" t="s">
        <v>36</v>
      </c>
      <c r="C9" s="32" t="s">
        <v>39</v>
      </c>
      <c r="D9" s="39">
        <v>45955.625</v>
      </c>
      <c r="E9" s="33">
        <v>125.88</v>
      </c>
      <c r="F9" s="40" t="s">
        <v>188</v>
      </c>
    </row>
    <row r="10" spans="1:6" x14ac:dyDescent="0.25">
      <c r="A10" s="32" t="s">
        <v>50</v>
      </c>
      <c r="B10" s="32" t="s">
        <v>51</v>
      </c>
      <c r="C10" s="32" t="s">
        <v>54</v>
      </c>
      <c r="D10" s="39">
        <v>45957.625</v>
      </c>
      <c r="E10" s="33">
        <v>84.2</v>
      </c>
      <c r="F10" s="40" t="s">
        <v>188</v>
      </c>
    </row>
    <row r="11" spans="1:6" x14ac:dyDescent="0.25">
      <c r="A11" s="32" t="s">
        <v>58</v>
      </c>
      <c r="B11" s="32" t="s">
        <v>59</v>
      </c>
      <c r="C11" s="32" t="s">
        <v>60</v>
      </c>
      <c r="D11" s="39">
        <v>45958.625</v>
      </c>
      <c r="E11" s="33">
        <v>25</v>
      </c>
      <c r="F11" s="40" t="s">
        <v>188</v>
      </c>
    </row>
    <row r="12" spans="1:6" x14ac:dyDescent="0.25">
      <c r="A12" s="32" t="s">
        <v>63</v>
      </c>
      <c r="B12" s="32" t="s">
        <v>64</v>
      </c>
      <c r="C12" s="32" t="s">
        <v>65</v>
      </c>
      <c r="D12" s="39">
        <v>45959.625</v>
      </c>
      <c r="E12" s="33">
        <v>25.98</v>
      </c>
      <c r="F12" s="40" t="s">
        <v>188</v>
      </c>
    </row>
    <row r="13" spans="1:6" x14ac:dyDescent="0.25">
      <c r="A13" s="32" t="s">
        <v>68</v>
      </c>
      <c r="B13" s="32" t="s">
        <v>69</v>
      </c>
      <c r="C13" s="32" t="s">
        <v>70</v>
      </c>
      <c r="D13" s="39">
        <v>45980.625</v>
      </c>
      <c r="E13" s="33">
        <v>112.22</v>
      </c>
      <c r="F13" s="40" t="s">
        <v>188</v>
      </c>
    </row>
    <row r="14" spans="1:6" x14ac:dyDescent="0.25">
      <c r="A14" s="32" t="s">
        <v>73</v>
      </c>
      <c r="B14" s="32" t="s">
        <v>74</v>
      </c>
      <c r="C14" s="32" t="s">
        <v>75</v>
      </c>
      <c r="D14" s="39">
        <v>46130.625</v>
      </c>
      <c r="E14" s="33">
        <v>143</v>
      </c>
      <c r="F14" s="40" t="s">
        <v>188</v>
      </c>
    </row>
    <row r="15" spans="1:6" x14ac:dyDescent="0.25">
      <c r="A15" s="32" t="s">
        <v>78</v>
      </c>
      <c r="B15" s="32" t="s">
        <v>79</v>
      </c>
      <c r="C15" s="32" t="s">
        <v>80</v>
      </c>
      <c r="D15" s="39">
        <v>46140.625</v>
      </c>
      <c r="E15" s="33">
        <v>104.4</v>
      </c>
      <c r="F15" s="40" t="s">
        <v>188</v>
      </c>
    </row>
    <row r="16" spans="1:6" x14ac:dyDescent="0.25">
      <c r="A16" s="32" t="s">
        <v>103</v>
      </c>
      <c r="B16" s="32" t="s">
        <v>104</v>
      </c>
      <c r="C16" s="32" t="s">
        <v>105</v>
      </c>
      <c r="D16" s="39">
        <v>46260.625</v>
      </c>
      <c r="E16" s="33">
        <v>149.38</v>
      </c>
      <c r="F16" s="40" t="s">
        <v>188</v>
      </c>
    </row>
    <row r="17" spans="1:6" x14ac:dyDescent="0.25">
      <c r="A17" s="32" t="s">
        <v>108</v>
      </c>
      <c r="B17" s="32" t="s">
        <v>109</v>
      </c>
      <c r="C17" s="32" t="s">
        <v>112</v>
      </c>
      <c r="D17" s="39">
        <v>46265.625</v>
      </c>
      <c r="E17" s="33">
        <v>443.95</v>
      </c>
      <c r="F17" s="40" t="s">
        <v>188</v>
      </c>
    </row>
    <row r="18" spans="1:6" x14ac:dyDescent="0.25">
      <c r="A18" s="32" t="s">
        <v>146</v>
      </c>
      <c r="B18" s="32" t="s">
        <v>147</v>
      </c>
      <c r="C18" s="32" t="s">
        <v>148</v>
      </c>
      <c r="D18" s="39">
        <v>45898.625</v>
      </c>
      <c r="E18" s="33">
        <v>161.3</v>
      </c>
      <c r="F18" s="40" t="s">
        <v>188</v>
      </c>
    </row>
    <row r="19" spans="1:6" x14ac:dyDescent="0.25">
      <c r="A19" s="32" t="s">
        <v>164</v>
      </c>
      <c r="B19" s="32" t="s">
        <v>165</v>
      </c>
      <c r="C19" s="32" t="s">
        <v>166</v>
      </c>
      <c r="D19" s="39">
        <v>45996.625</v>
      </c>
      <c r="E19" s="33">
        <v>50</v>
      </c>
      <c r="F19" s="40" t="s">
        <v>188</v>
      </c>
    </row>
    <row r="20" spans="1:6" x14ac:dyDescent="0.25">
      <c r="A20" s="32" t="s">
        <v>169</v>
      </c>
      <c r="B20" s="32" t="s">
        <v>170</v>
      </c>
      <c r="C20" s="32" t="s">
        <v>171</v>
      </c>
      <c r="D20" s="39">
        <v>46147.625</v>
      </c>
      <c r="E20" s="33">
        <v>258.63</v>
      </c>
      <c r="F20" s="40" t="s">
        <v>188</v>
      </c>
    </row>
    <row r="21" spans="1:6" x14ac:dyDescent="0.25">
      <c r="A21" s="32" t="s">
        <v>174</v>
      </c>
      <c r="B21" s="32" t="s">
        <v>170</v>
      </c>
      <c r="C21" s="32" t="s">
        <v>175</v>
      </c>
      <c r="D21" s="39">
        <v>46153.625</v>
      </c>
      <c r="E21" s="33">
        <v>278.56</v>
      </c>
      <c r="F21" s="40" t="s">
        <v>188</v>
      </c>
    </row>
  </sheetData>
  <mergeCells count="2">
    <mergeCell ref="A1:F1"/>
    <mergeCell ref="A2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A6D00"/>
  </sheetPr>
  <dimension ref="A1:C21"/>
  <sheetFormatPr defaultRowHeight="15" outlineLevelRow="0" outlineLevelCol="0" x14ac:dyDescent="55"/>
  <cols>
    <col min="1" max="1" width="24" customWidth="1"/>
    <col min="2" max="2" width="70" customWidth="1"/>
    <col min="3" max="3" width="62" customWidth="1"/>
  </cols>
  <sheetData>
    <row r="1" spans="1:1" x14ac:dyDescent="0.25">
      <c r="A1" s="35" t="s">
        <v>228</v>
      </c>
    </row>
    <row r="3" spans="1:3" x14ac:dyDescent="0.25">
      <c r="A3" s="29" t="s">
        <v>24</v>
      </c>
      <c r="B3" s="29" t="s">
        <v>229</v>
      </c>
      <c r="C3" s="29" t="s">
        <v>230</v>
      </c>
    </row>
    <row r="4" ht="58" customHeight="1" spans="1:3" x14ac:dyDescent="0.25">
      <c r="A4" s="13" t="s">
        <v>128</v>
      </c>
      <c r="B4" s="14" t="s">
        <v>231</v>
      </c>
      <c r="C4" s="14" t="s">
        <v>232</v>
      </c>
    </row>
    <row r="5" ht="58" customHeight="1" spans="1:3" x14ac:dyDescent="0.25">
      <c r="A5" s="13" t="s">
        <v>190</v>
      </c>
      <c r="B5" s="14" t="s">
        <v>233</v>
      </c>
      <c r="C5" s="14" t="s">
        <v>234</v>
      </c>
    </row>
    <row r="6" ht="58" customHeight="1" spans="1:3" x14ac:dyDescent="0.25">
      <c r="A6" s="13" t="s">
        <v>96</v>
      </c>
      <c r="B6" s="14" t="s">
        <v>235</v>
      </c>
      <c r="C6" s="14" t="s">
        <v>236</v>
      </c>
    </row>
    <row r="7" ht="58" customHeight="1" spans="1:3" x14ac:dyDescent="0.25">
      <c r="A7" s="13" t="s">
        <v>142</v>
      </c>
      <c r="B7" s="14" t="s">
        <v>237</v>
      </c>
      <c r="C7" s="14" t="s">
        <v>238</v>
      </c>
    </row>
    <row r="8" ht="58" customHeight="1" spans="1:3" x14ac:dyDescent="0.25">
      <c r="A8" s="13" t="s">
        <v>191</v>
      </c>
      <c r="B8" s="14" t="s">
        <v>239</v>
      </c>
      <c r="C8" s="14" t="s">
        <v>240</v>
      </c>
    </row>
    <row r="10" spans="1:1" x14ac:dyDescent="0.25">
      <c r="A10" s="35" t="s">
        <v>241</v>
      </c>
    </row>
    <row r="11" spans="1:2" x14ac:dyDescent="0.25">
      <c r="A11" s="41" t="s">
        <v>242</v>
      </c>
      <c r="B11" s="32" t="s">
        <v>243</v>
      </c>
    </row>
    <row r="12" spans="1:2" x14ac:dyDescent="0.25">
      <c r="A12" s="42" t="s">
        <v>244</v>
      </c>
      <c r="B12" s="32" t="s">
        <v>245</v>
      </c>
    </row>
    <row r="13" spans="1:2" x14ac:dyDescent="0.25">
      <c r="A13" s="43" t="s">
        <v>246</v>
      </c>
      <c r="B13" s="32" t="s">
        <v>247</v>
      </c>
    </row>
    <row r="14" spans="1:2" x14ac:dyDescent="0.25">
      <c r="A14" s="44" t="s">
        <v>248</v>
      </c>
      <c r="B14" s="32" t="s">
        <v>249</v>
      </c>
    </row>
    <row r="16" spans="1:1" x14ac:dyDescent="0.25">
      <c r="A16" s="35" t="s">
        <v>250</v>
      </c>
    </row>
    <row r="17" ht="30" customHeight="1" spans="1:3" x14ac:dyDescent="0.25">
      <c r="A17" s="38" t="s">
        <v>251</v>
      </c>
      <c r="B17" s="38"/>
      <c r="C17" s="38"/>
    </row>
    <row r="18" ht="30" customHeight="1" spans="1:3" x14ac:dyDescent="0.25">
      <c r="A18" s="38" t="s">
        <v>252</v>
      </c>
      <c r="B18" s="38"/>
      <c r="C18" s="38"/>
    </row>
    <row r="19" ht="30" customHeight="1" spans="1:3" x14ac:dyDescent="0.25">
      <c r="A19" s="38" t="s">
        <v>253</v>
      </c>
      <c r="B19" s="38"/>
      <c r="C19" s="38"/>
    </row>
    <row r="21" spans="1:1" x14ac:dyDescent="0.25">
      <c r="A21" s="45" t="s">
        <v>254</v>
      </c>
    </row>
  </sheetData>
  <mergeCells count="3">
    <mergeCell ref="A17:C17"/>
    <mergeCell ref="A18:C18"/>
    <mergeCell ref="A19:C1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Decisão</vt:lpstr>
      <vt:lpstr>Resumo</vt:lpstr>
      <vt:lpstr>1 Classificadas pela pasta</vt:lpstr>
      <vt:lpstr>2 Exigem decisão da igreja</vt:lpstr>
      <vt:lpstr>3 Exigem documentação</vt:lpstr>
      <vt:lpstr>4 Exigem resposta ao escritório</vt:lpstr>
      <vt:lpstr>Pedido ao escritório</vt:lpstr>
      <vt:lpstr>Como preencher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DiakoniaApp</dc:creator>
  <dc:title/>
  <dc:subject/>
  <dc:description/>
  <cp:keywords/>
  <cp:category/>
  <cp:lastModifiedBy>Unknown</cp:lastModifiedBy>
  <dcterms:created xsi:type="dcterms:W3CDTF">2026-10-13T15:44:53Z</dcterms:created>
  <dcterms:modified xsi:type="dcterms:W3CDTF">2026-10-13T15:44:53Z</dcterms:modified>
</cp:coreProperties>
</file>