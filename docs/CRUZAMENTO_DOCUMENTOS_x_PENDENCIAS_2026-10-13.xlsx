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ndências" state="visible" r:id="rId4"/>
    <sheet sheetId="2" name="Resumo" state="visible" r:id="rId5"/>
    <sheet sheetId="3" name="Para enviar ao escritório" state="visible" r:id="rId6"/>
    <sheet sheetId="4" name="Falta decisão da igreja" state="visible" r:id="rId7"/>
    <sheet sheetId="5" name="Falta documento" state="visible" r:id="rId8"/>
    <sheet sheetId="6" name="Falta resposta ao escritório" state="visible" r:id="rId9"/>
  </sheets>
  <calcPr calcId="171027"/>
</workbook>
</file>

<file path=xl/sharedStrings.xml><?xml version="1.0" encoding="utf-8"?>
<sst xmlns="http://schemas.openxmlformats.org/spreadsheetml/2006/main" count="2451" uniqueCount="549">
  <si>
    <t>Cruzamento da pasta Tesouraria com as pendências do escritório (saldo de 31/08/2026)</t>
  </si>
  <si>
    <t>Levantamento de 13/10/2026, somente leitura. Cada arquivo foi achado por valor, data, fornecedor e número da NF; os PDFs com texto tiveram o conteúdo lido. Imagens e PDFs escaneados: só nome e valor conferidos.</t>
  </si>
  <si>
    <t>ID</t>
  </si>
  <si>
    <t>Grupo</t>
  </si>
  <si>
    <t>Conta</t>
  </si>
  <si>
    <t>Data</t>
  </si>
  <si>
    <t>Valor (R$)</t>
  </si>
  <si>
    <t>Pendência</t>
  </si>
  <si>
    <t>Documento encontrado?</t>
  </si>
  <si>
    <t>NF encontrada?</t>
  </si>
  <si>
    <t>Comprovante encontrado?</t>
  </si>
  <si>
    <t>Contrato encontrado?</t>
  </si>
  <si>
    <t>Justificativa encontrada?</t>
  </si>
  <si>
    <t>Resposta já dada ao escritório?</t>
  </si>
  <si>
    <t>Classificação</t>
  </si>
  <si>
    <t>Arquivo(s) da pasta</t>
  </si>
  <si>
    <t>Observação e próximo passo</t>
  </si>
  <si>
    <t>AP-01</t>
  </si>
  <si>
    <t>Ativo em Processamento</t>
  </si>
  <si>
    <t>100165</t>
  </si>
  <si>
    <t>Festa Mania Tijuca (cartão)</t>
  </si>
  <si>
    <t>Não</t>
  </si>
  <si>
    <t>Sim</t>
  </si>
  <si>
    <t>não se aplica</t>
  </si>
  <si>
    <t>Falta Documento</t>
  </si>
  <si>
    <t>JAN.2026 _ FATURA CARTÃO.PDF</t>
  </si>
  <si>
    <t>A fatura do cartão de jan/2026 existe (prova o gasto), mas a NF da Festa Mania Tijuca não está na pasta. Pedir a NF à loja.</t>
  </si>
  <si>
    <t>AP-02</t>
  </si>
  <si>
    <t>Light</t>
  </si>
  <si>
    <t>Resolvida</t>
  </si>
  <si>
    <t>15.01.2026 - R$215,08 _ FATURA LIGHT _ SENADOR FURTADO _ PG BANKLINE.pdf</t>
  </si>
  <si>
    <t>Fatura da Light com comprovante. Já respondida na planilha de jan/2026 (aba BRADESCO).</t>
  </si>
  <si>
    <t>AP-03</t>
  </si>
  <si>
    <t>Hoteis.com parc. 1/4 (cartão)</t>
  </si>
  <si>
    <t>Parcial</t>
  </si>
  <si>
    <t>Parcialmente Resolvida</t>
  </si>
  <si>
    <t xml:space="preserve">10.02.2026 - R$577,14 _ HOTEIS COM _ 1.4 _ PG VISA.pdf
10.03.2026 - R$577,13 _ HOTEIS COM _ 2.4 _ PG VISA.pdf
10.04.2026 - R$577,13 _ HOTEIS COM _ 3.4 _ PG VISA.pdf
10.05.2026 - R$577,13 _ HOTEIS COM _ 4.4 _ PG VISA.pdf</t>
  </si>
  <si>
    <t>Comprovantes das 4 parcelas (577,14 + 3 × 577,13 = 2.308,53; diferença de R$ 0,03). São imagens: valor e nome conferem, o conteúdo não foi lido. Falta a NF ou o voucher do Hoteis.com.</t>
  </si>
  <si>
    <t>AP-04</t>
  </si>
  <si>
    <t>Latam parc. 1/4 (cartão)</t>
  </si>
  <si>
    <t>—</t>
  </si>
  <si>
    <t>Nada da Latam em fev/2026. Os dois JPEGs da Latam (R$ 2.392,00 e R$ 269,00) são de setembro, de outra viagem. Falta o bilhete ou recibo.</t>
  </si>
  <si>
    <t>AP-05</t>
  </si>
  <si>
    <t>S2P inscrição 1/2 (cartão) (1)</t>
  </si>
  <si>
    <t>Nada da S2P/E-Inscrição na pasta. Falta o comprovante ou a NF da inscrição (2 inscrições, 2 parcelas de R$ 200,00 cada).</t>
  </si>
  <si>
    <t>AP-06</t>
  </si>
  <si>
    <t>S2P inscrição 1/2 (cartão) (2)</t>
  </si>
  <si>
    <t>Idem AP-05 (segunda inscrição).</t>
  </si>
  <si>
    <t>AP-07</t>
  </si>
  <si>
    <t>Zupper (cartão)</t>
  </si>
  <si>
    <t>Nada da Zupper (emitente no app: Kontik Franstur). Falta a NF.</t>
  </si>
  <si>
    <t>AP-08</t>
  </si>
  <si>
    <t>Commander Digital</t>
  </si>
  <si>
    <t>Só existem a fatura da Commander de 23/01 (R$ 1.000,00) e o pagamento de R$ 500,00 de 27/02. Falta a fatura de fevereiro.</t>
  </si>
  <si>
    <t>AP-09</t>
  </si>
  <si>
    <t>Flora Energia</t>
  </si>
  <si>
    <t xml:space="preserve">02.03.2026 - R$321,62 _ FLORA ENERGIA _ PG BANKLINE.pdf
02.03.2026 - R$321,62 _ FLORA ENERGIA _ PG BANKLINE.pdf</t>
  </si>
  <si>
    <t>Boleto da Flora (via IUGU) com comprovante; o valor confere no texto. Já está na pasta Pendências AL.</t>
  </si>
  <si>
    <t>AP-10</t>
  </si>
  <si>
    <t xml:space="preserve">17.03.2026 - R$221,38 _ FLORA _ FATURA _ PG BANKLINE.pdf
17.03.2026 - R$221,38 _ FLORA _ FATURA _ PG BANKLINE.pdf</t>
  </si>
  <si>
    <t>Fatura da Flora com comprovante; valor confere no texto. Já está na pasta Pendências AL.</t>
  </si>
  <si>
    <t>AP-11</t>
  </si>
  <si>
    <t>Nada da Commander em março. Falta a fatura.</t>
  </si>
  <si>
    <t>AP-12</t>
  </si>
  <si>
    <t>Prodesc Benfica (cartão)</t>
  </si>
  <si>
    <t>10.04.2026 - R$59,80 _ PRODESC BENFICA _ PG CARTAO.pdf</t>
  </si>
  <si>
    <t>NF-e do consumidor nº 125233, R$ 59,80, emitida em 02/03/2026 pela Prodesc Benfica (CNPJ 06.058.769/0001-47). Fatura do cartão de abril existe.</t>
  </si>
  <si>
    <t>AP-13</t>
  </si>
  <si>
    <t>Eletro-Acústica (cartão)</t>
  </si>
  <si>
    <t>Nenhum arquivo de R$ 35,00. A NF22423 da pasta é do Lojão do Alcântara, outra compra.</t>
  </si>
  <si>
    <t>AP-14</t>
  </si>
  <si>
    <t>Prodesc NF 125233 (cartão)</t>
  </si>
  <si>
    <t>A NF 125233 existe, mas é de R$ 59,80 (linha AP-12), não de R$ 15,90. Os R$ 15,90 são de outra compra, sem NF na pasta. Responder isso ao escritório.</t>
  </si>
  <si>
    <t>AP-15</t>
  </si>
  <si>
    <t>Ponto Abastec</t>
  </si>
  <si>
    <t>Nada da Ponto Abastec na pasta. Falta a NF.</t>
  </si>
  <si>
    <t>AP-16</t>
  </si>
  <si>
    <t>Cobrança Net Empresa (CBD)</t>
  </si>
  <si>
    <t>Só há os pagamentos da CBD de 04/05 (R$ 250,00) e 30/07 (R$ 260,00). Falta o documento dos R$ 25,74 de 15/04.</t>
  </si>
  <si>
    <t>AP-17</t>
  </si>
  <si>
    <t>Dally Boy (caixa)</t>
  </si>
  <si>
    <t>18.04.2026 - R$67,00 _ NF762 _ DALLY BOY ATACADAO DE BONES E MEIAS LTDA _ PG ESPÉCIE.pdf</t>
  </si>
  <si>
    <t>NF 762 (Dally Boy Atacadão de Bonés e Meias) paga em espécie, valor confere no texto.</t>
  </si>
  <si>
    <t>AP-18</t>
  </si>
  <si>
    <t>Prov Telecom</t>
  </si>
  <si>
    <t>20.04.2026 - R$99,00 _ PROV TELECOM _ PG BANKLINE.pdf</t>
  </si>
  <si>
    <t>Fatura da Prov Telecom com comprovante; valor confere no texto.</t>
  </si>
  <si>
    <t>AP-19</t>
  </si>
  <si>
    <t>Atacadão 691 (cartão)</t>
  </si>
  <si>
    <t>Nenhum arquivo do Atacadão 691/Wms de R$ 60,84. Os arquivos próximos são de outros atacadistas.</t>
  </si>
  <si>
    <t>AP-20</t>
  </si>
  <si>
    <t>MercadoLivre (cartão)</t>
  </si>
  <si>
    <t>Nenhum arquivo do MercadoLivre/Loc Mil de R$ 41,42. Falta a NF.</t>
  </si>
  <si>
    <t>AP-21</t>
  </si>
  <si>
    <t>ABC Associação</t>
  </si>
  <si>
    <t>Existem comprovantes da ABC de R$ 25,20 em 19/06 e 10/07, mas não de 11/05. Falta a fatura de maio.</t>
  </si>
  <si>
    <t>AP-22</t>
  </si>
  <si>
    <t>Sem fatura da Light de maio na pasta (há fev, mar, abr, jun, ago e set).</t>
  </si>
  <si>
    <t>AP-23</t>
  </si>
  <si>
    <t>Idem AP-22 (segunda fatura de maio, R$ 242,36).</t>
  </si>
  <si>
    <t>AP-24</t>
  </si>
  <si>
    <t>Sem fatura da Light de julho na pasta.</t>
  </si>
  <si>
    <t>AP-25</t>
  </si>
  <si>
    <t>Idem AP-24 (segunda fatura de julho, R$ 303,20).</t>
  </si>
  <si>
    <t>AP-26</t>
  </si>
  <si>
    <t>Patrícia Cantero Soares</t>
  </si>
  <si>
    <t>03.08.2026 - R$380,00 _ PATRICIA CANTERO.pdf</t>
  </si>
  <si>
    <t>Arquivo da pasta é uma imagem (nome e valor conferem) e o app já tem NF anexada a esta despesa. Conferir visualmente antes de enviar.</t>
  </si>
  <si>
    <t>AP-27</t>
  </si>
  <si>
    <t>Agrottha Pisos (pago a maior)</t>
  </si>
  <si>
    <t>Falta Decisão da Igreja</t>
  </si>
  <si>
    <t>25.08.2026 - R$5.400,00 _ NF000.051.078 _ AGROTTHA PISO E DECORACOES LTDA _ PG BANKLINE.pdf</t>
  </si>
  <si>
    <t>NF 051.078 é de R$ 5.400,00 e o pagamento foi de R$ 5.940,00. Decidir: pedir devolução dos R$ 540,00 ou deixar como crédito com a Agrottha.</t>
  </si>
  <si>
    <t>AD-01</t>
  </si>
  <si>
    <t>Adiantamentos</t>
  </si>
  <si>
    <t>112463</t>
  </si>
  <si>
    <t>Caio Marcelo Mendes da Silva (tubo de cobre)</t>
  </si>
  <si>
    <t>Resposta de jan/2026: tubo de cobre para o ar-condicionado, sem NF. Decidir se aceita a despesa sem NF ou desconta do Caio.</t>
  </si>
  <si>
    <t>AD-02</t>
  </si>
  <si>
    <t>Lucio Paulo Paz Barreto (parte dos R$ 1.800 em espécie)</t>
  </si>
  <si>
    <t>Resposta de jan/2026: foram R$ 1.800,00 em espécie ao pastor em 08/06/2024 (o app tem esse lançamento na Caixinha). Decidir a natureza (prebenda ou adiantamento) e a data do desconto.</t>
  </si>
  <si>
    <t>AD-03</t>
  </si>
  <si>
    <t>Lucio Paulo Paz Barreto (espécie)</t>
  </si>
  <si>
    <t>Resposta de jan/2026: o pastor pediu em espécie. Decidir a natureza e a data do desconto.</t>
  </si>
  <si>
    <t>AD-04</t>
  </si>
  <si>
    <t>Adiantamento de prebenda a Lucio</t>
  </si>
  <si>
    <t>Resposta de jan/2026: "13º salário???". Existem na pasta adiantamentos do pastor em cheque de R$ 8.000,00 (2024), mas nenhum de R$ 10.000,00. Decidir a data do desconto.</t>
  </si>
  <si>
    <t>AD-05</t>
  </si>
  <si>
    <t>Caio (pagamento a David Bastos Rocha em espécie)</t>
  </si>
  <si>
    <t>Falta Resposta à Contabilidade</t>
  </si>
  <si>
    <t>Resposta de jan/2026: foi pagamento ao fornecedor David Bastos Rocha, entregue em espécie ao Caio, "já ajustado no Omie". O app também já classifica como David Bastos. Falta só confirmar com o escritório a reclassificação (a NF 9770755 já consta como baixada no escritório).</t>
  </si>
  <si>
    <t>AD-06</t>
  </si>
  <si>
    <t>Telma (compra no cartão pessoal; ajustado p/ Sendas)</t>
  </si>
  <si>
    <t>29.08.2024 - R$27,88 _ NF39437 _ SENDAS DISTRIBUIDORA SA _ PG ESPÉCIE.pdf</t>
  </si>
  <si>
    <t>NF 39437 da Sendas paga em espécie existe, mas é de R$ 27,88, não de R$ 26,77. Diferença de R$ 1,11 a explicar. Resposta de jan/2026 já cita o arquivo.</t>
  </si>
  <si>
    <t>AD-07</t>
  </si>
  <si>
    <t>AD-08</t>
  </si>
  <si>
    <t>Adiantamento de prebenda sem resposta. Decidir a data do desconto.</t>
  </si>
  <si>
    <t>AD-09</t>
  </si>
  <si>
    <t>RC Design RJ Marketing</t>
  </si>
  <si>
    <t>18.12.2026 - R$197,00 _ NF309 _ RC DESIGN RJ MAKETING _ PG BANKLINE.pdf</t>
  </si>
  <si>
    <t>NF 309 de R$ 197,00 com comprovante (o nome do arquivo tem 2026 por engano; a data é 18/12/2025). Compensa com a NF 309 aberta em fornecedores (FS-12).</t>
  </si>
  <si>
    <t>AD-10</t>
  </si>
  <si>
    <t>Prebenda paga a maior (Lucio)</t>
  </si>
  <si>
    <t>Diferença de R$ 1,00 na prebenda de mar/2026. Informar a data de desconto.</t>
  </si>
  <si>
    <t>AD-11</t>
  </si>
  <si>
    <t>Prebenda Lucio</t>
  </si>
  <si>
    <t>Prebenda de abr/2026 (R$ 3.362,00). Informar a data de desconto.</t>
  </si>
  <si>
    <t>AD-12</t>
  </si>
  <si>
    <t>Caio Marcelo Mendes da Silva</t>
  </si>
  <si>
    <t>Nenhum arquivo do Caio em jun/2026. Falta a NF dos R$ 300,00.</t>
  </si>
  <si>
    <t>AD-13</t>
  </si>
  <si>
    <t>Idem AD-12 (R$ 127,00).</t>
  </si>
  <si>
    <t>AD-14</t>
  </si>
  <si>
    <t>Prebenda paga a maior (Alexandre)</t>
  </si>
  <si>
    <t>Diferença de R$ 1,00 na prebenda de jul/2026 (Alexandre). Informar a data de desconto.</t>
  </si>
  <si>
    <t>AD-15</t>
  </si>
  <si>
    <t>112481</t>
  </si>
  <si>
    <t>Letra do Céu (adiantamento)</t>
  </si>
  <si>
    <t>Resposta de jan/2026: o pagamento foi duplicado gerando crédito; o fornecedor entregou produtos à irmã Patrícia e não emitiu nota. Decidir: abater em compra futura ou pedir devolução. A Letra do Céu e a Comercial Irmãos Henriques são a mesma empresa.</t>
  </si>
  <si>
    <t>AD-16</t>
  </si>
  <si>
    <t>112482</t>
  </si>
  <si>
    <t>Patrícia Oliveira da Silva Barreto</t>
  </si>
  <si>
    <t>NF13 22.11.2024 - R$3.475,63 _ PATRICIA OLIVEIRA DA SILVA BARRETO _ PG BANKLINE.pdf</t>
  </si>
  <si>
    <t>Resposta de jan/2026: "não encontrei pagamento neste valor nesta data". A pasta tem a NF13 de R$ 3.475,63 (22/11/2024); os R$ 239,84 não aparecem em lugar nenhum. A planilha da Patrícia também lista a NF10 (R$ 867,65, 06/11/2024) sem pagamento. Explicar ao escritório.</t>
  </si>
  <si>
    <t>AD-17</t>
  </si>
  <si>
    <t>NF012 13.12.2024 - R$3.475,63 _ PATRICIA OLIVEIRA DA SILVA BARRETO _ PG BANKLINE.pdf</t>
  </si>
  <si>
    <t>NF 012 de R$ 3.475,63 com comprovante (em Pendências AL/PATRICIA…).</t>
  </si>
  <si>
    <t>AD-18</t>
  </si>
  <si>
    <t>A planilha da Patrícia mostra o pagamento de 07/01/2025 sem NF. Falta a NF de janeiro/2025.</t>
  </si>
  <si>
    <t>AD-19</t>
  </si>
  <si>
    <t>Marcelo Neves Pimenta (RPA)</t>
  </si>
  <si>
    <t>24.01.2025 - R$1.000,00 _ RPA _ MARCELO NEVES PIMENTA _ PG BANKLINE.pdf</t>
  </si>
  <si>
    <t>RPA do pagamento de 24/01 existe (imagem). O app tem dois pagamentos de R$ 1.000,00 (24/01 e 31/01) e só há RPA de um. Confirmar se é duplicidade.</t>
  </si>
  <si>
    <t>AD-20</t>
  </si>
  <si>
    <t>Pagamento de 07/02/2025 sem NF (conforme a planilha da Patrícia).</t>
  </si>
  <si>
    <t>AD-21</t>
  </si>
  <si>
    <t>Pagamento de 06/03/2025 sem NF.</t>
  </si>
  <si>
    <t>AD-22</t>
  </si>
  <si>
    <t>Marcio Nunes da Silva (RPA pago a maior)</t>
  </si>
  <si>
    <t>10.03.2025 - R$500,00 _ RPA _ MARCIO NUNES.pdf</t>
  </si>
  <si>
    <t>RPA de R$ 500,00 existe (imagem); pagamentos de fev: 200 + 100 + 100. Decidir: pedir devolução dos R$ 99,89 ou descontar do próximo RPA.</t>
  </si>
  <si>
    <t>AD-23</t>
  </si>
  <si>
    <t>Pagamento de 07/04/2025 sem NF.</t>
  </si>
  <si>
    <t>AD-24</t>
  </si>
  <si>
    <t>Pagamento de 05/05/2025 sem NF.</t>
  </si>
  <si>
    <t>AD-25</t>
  </si>
  <si>
    <t>Carlos Eduardo de Santana (competência?)</t>
  </si>
  <si>
    <t>07.05.2025 - R$720,05 _ RPA _ CARLOS EDUARDO DE SANTANA _ PG BANKLINE.pdf</t>
  </si>
  <si>
    <t>Comprovantes mensais de R$ 720,05 (07/02, 06/03, 04/04, 07/05/2025). O escritório pergunta se o de 07/05 quita os R$ 540,04 de fev/2025. Responder qual competência cada pagamento cobre.</t>
  </si>
  <si>
    <t>AD-26</t>
  </si>
  <si>
    <t>Pagamento de 05/06/2025 sem NF.</t>
  </si>
  <si>
    <t>AD-27</t>
  </si>
  <si>
    <t>Pagamento de 01/09/2025 sem NF (o escritório já anota "NF não identificada").</t>
  </si>
  <si>
    <t>AD-28</t>
  </si>
  <si>
    <t>Pagamento de 01/06/2026 sem NF.</t>
  </si>
  <si>
    <t>AD-29</t>
  </si>
  <si>
    <t>'Patrícia' (pagamento é de Marco A. Herculano)</t>
  </si>
  <si>
    <t>04.07.2026 - R$2.000,00 _ NF010 _ MARCO ANTONIO HERCULANO _ PG BANKLINE.pdf</t>
  </si>
  <si>
    <t>O pagamento de 06/07/2026 é do Marco Antonio Herculano, não da Patrícia: NF 010, R$ 2.000,00 (a NF 10 aberta em fornecedores é a mesma). O escritório só precisa reclassificar e compensar (FS-13).</t>
  </si>
  <si>
    <t>AD-30</t>
  </si>
  <si>
    <t>Daniel Alves Souza</t>
  </si>
  <si>
    <t>27.08.2026 - R$1.090,00 _ NF163 _ DANIEL ALVES SOUZA _ PG BANKLINESOUZ.pdf</t>
  </si>
  <si>
    <t>NF 163 com comprovante; valor confere.</t>
  </si>
  <si>
    <t>AD-31</t>
  </si>
  <si>
    <t>28.08.2026 - R$1.200,00 _ PATRICIA OLIVEIRA DA SILVA BARRETO.pdf</t>
  </si>
  <si>
    <t>Arquivo existe, mas é uma imagem sem nome de documento. Conferir se é a NF.</t>
  </si>
  <si>
    <t>AD-32</t>
  </si>
  <si>
    <t>28.08.2026 - R$600,00 _ NF164 _ DANIEL ALVES SOUZA _ PG BANKLINE.pdf</t>
  </si>
  <si>
    <t>NF 164 com valor conferido.</t>
  </si>
  <si>
    <t>TC-01</t>
  </si>
  <si>
    <t>Título de Capitalização</t>
  </si>
  <si>
    <t>122006</t>
  </si>
  <si>
    <t>Título de Capitalização Bradesco (proposta 50213007/2): contrato e parcelas</t>
  </si>
  <si>
    <t xml:space="preserve">EXTRATO BRADESCO FEV.2023.PDF
Extrato Bradesco 03_2023.pdf
EXTRATO BRADESCO MAIO.2023.PDF
03.06.2024 - R$104,64 _ TÍTULO DE CAPITALIZAÇÃO BRADESCO _ PG BANKLINE.pdf
03.06.2025 - R$109,92 _ TITULO DE CAPITALIZAÇÃO _ PG BANKLINE.pdf</t>
  </si>
  <si>
    <t>Conferi no texto os extratos de fev a dez/2023 (todos mostram o débito do título); os extratos de 2024 a 2026 estão na pasta, e há 5 comprovantes avulsos. NÃO existe contrato nem a proposta 50213007/2 na pasta, nem a explicação da mudança de 60 para 90 parcelas.</t>
  </si>
  <si>
    <t>CT-01</t>
  </si>
  <si>
    <t>Cartão de crédito a pagar</t>
  </si>
  <si>
    <t>211998</t>
  </si>
  <si>
    <t>NF 666342: Frigelar (07x08)</t>
  </si>
  <si>
    <t xml:space="preserve">10.06.2025 - R$704,44 _ NF666342 _ FRIGELAR COMERCIO E INDUSTRIA LTDA _ PG CARTÃO DE CRÉDITO 9738.pdf
10.08.2025 - R$704,42 _ NF666342 _ FRIGELAR COMERCIO E INDUSTRIA LTDA _ 3_08 _ PG CARTÃO.pdf</t>
  </si>
  <si>
    <t>7 de 8 parcelas da NF 666342 (Frigelar) com comprovante: jun, ago, set, out, nov, dez/2025 e jan/2026. Falta a parcela 2/8 (jul/2025). Um 8º arquivo com esse número de NF é da Convicção Editora, outra compra.</t>
  </si>
  <si>
    <t>CT-02</t>
  </si>
  <si>
    <t>NF 171742: BMB Material de Construção (06x06)</t>
  </si>
  <si>
    <t>10.09.2025 - R$706,93 _ NF141742 _ BMB MATERIAL DE CONSTRUCAO SA _ PARCELA 01.06 _ PG CARTAO.pdf</t>
  </si>
  <si>
    <t>4 de 6 parcelas (set a dez/2025). O nº da NF nos arquivos é 141742, o escritório diz 171742 (um dos dois está digitado errado). Faltam as parcelas de jan e fev/2026.</t>
  </si>
  <si>
    <t>CT-03</t>
  </si>
  <si>
    <t>NF S2P-1: S2P/E-Inscrição inscrição 1 (01x02)</t>
  </si>
  <si>
    <t>Nada na pasta (ver AP-05).</t>
  </si>
  <si>
    <t>CT-04</t>
  </si>
  <si>
    <t>NF S2P-2: S2P/E-Inscrição inscrição 2 (01x02)</t>
  </si>
  <si>
    <t>Nada na pasta (ver AP-06).</t>
  </si>
  <si>
    <t>CT-05</t>
  </si>
  <si>
    <t>NF 45298: MP Store (05x06)</t>
  </si>
  <si>
    <t>10.03.2026 - R$125,76 _ NF45298 _ MP STORE COMERCIAL LTDA _ 1_6 _ PG VISA.pdf</t>
  </si>
  <si>
    <t>6 de 6 parcelas com NF e comprovante.</t>
  </si>
  <si>
    <t>CT-06</t>
  </si>
  <si>
    <t>NF 22423: Lojão do Alcântara (03x04)</t>
  </si>
  <si>
    <t>10.04.2026 - R$36,46 _ NF22423 _ LOJA DO ALCANTARA ELETRONICA LTDA _ 1_4 _ PG VISA.pdf</t>
  </si>
  <si>
    <t>4 de 4 parcelas com NF e comprovante.</t>
  </si>
  <si>
    <t>CT-07</t>
  </si>
  <si>
    <t>NF 1931: G2B Comércio (05x06) = Prisma</t>
  </si>
  <si>
    <t>10.05.2026 - R$86,66 _ NF000.005.362 _ PRISMA COMERCIO VAREJISTA E ATACADISTA LTDA _ 02_06 _ PG VISA.pdf</t>
  </si>
  <si>
    <t>6 parcelas de R$ 86,66 com NF, mas a NF nos arquivos é a 5362 da Prisma, e o escritório fala da NF 1931 da G2B. Confirmar se é a mesma compra.</t>
  </si>
  <si>
    <t>CT-08</t>
  </si>
  <si>
    <t>NF 14316: André Pereira (02x02)</t>
  </si>
  <si>
    <t>Nada do André Pereira (NF 14316) na pasta.</t>
  </si>
  <si>
    <t>CT-09</t>
  </si>
  <si>
    <t>NF 1108: Guirão Distribuidora de Som (03x04)</t>
  </si>
  <si>
    <t>10.04.2026 - R$27,50 _ NF1.108 _ GUIRAO DISTRIBUIDORA DE SOM ACESSORIOS LTDA _ 1_4 _ PG VISA.pdf</t>
  </si>
  <si>
    <t>CT-10</t>
  </si>
  <si>
    <t>NF 9370: Modamusicnet (05x10)</t>
  </si>
  <si>
    <t>10.04.2026 - R$51,98 _ NF9.370 _ MODAMUSICNET LTDA _ 01_10 _ PG VISA.pdf</t>
  </si>
  <si>
    <t>10 de 10 parcelas com NF e comprovante (5 delas após 31/08).</t>
  </si>
  <si>
    <t>CT-11</t>
  </si>
  <si>
    <t>NF 311998: Login Informática (04x10)</t>
  </si>
  <si>
    <t>10.05.2026 - R$129,90 _ NF311.998 _ LOGIN INFORMATICA COMERCIO E REPRESENTACAO LTDA _ 01_10 _ PG VISA.pdf</t>
  </si>
  <si>
    <t>10 de 10 parcelas com NF e comprovante.</t>
  </si>
  <si>
    <t>CT-12</t>
  </si>
  <si>
    <t>NF 1612586: TNTInfo (05x10)</t>
  </si>
  <si>
    <t>10.05.2026 - R$189,90 _ NF1.612.586 _ TNTINFO COMERCIO DE MATERIAIS DE INFORMATICA LTDA _ 01_10 _ PG VISA.pdf</t>
  </si>
  <si>
    <t>CT-13</t>
  </si>
  <si>
    <t>NF 231852: TNTInfo (04x07)</t>
  </si>
  <si>
    <t>10.05.2026 - R$52,79 _ NF231.852 _ TNTINFO COMERCIO DE MATERIAIS DE INFORMATICA LTDA _ 01_07 _ PG VISA.pdf</t>
  </si>
  <si>
    <t>7 de 7 parcelas com NF e comprovante.</t>
  </si>
  <si>
    <t>CT-14</t>
  </si>
  <si>
    <t>NF 12058: Renova-Teck (03x10)</t>
  </si>
  <si>
    <t>10.05.2026 - R$65,96 _ NF12.058 _ RENOVA-TECK E-COMMERCE LTDA _ 01_10 _ PG VISA.pdf</t>
  </si>
  <si>
    <t>CT-15</t>
  </si>
  <si>
    <t>NF 10465: Skoltech (04x10)</t>
  </si>
  <si>
    <t>10.05.2026 - R$84,37 _ NF10.465 _ SKOLTECH INFORMATICA LTDA _ 01_10 _ PG VISA.pdf</t>
  </si>
  <si>
    <t>CT-16</t>
  </si>
  <si>
    <t>NF 764: Manehel Kamal (03x04)</t>
  </si>
  <si>
    <t>10.05.2026 - R$25,46 _ NF764 _ MANEHEL KAMAL AYED JUDEH _ 01_04 _ PG VISA.pdf</t>
  </si>
  <si>
    <t>CT-17</t>
  </si>
  <si>
    <t>NF 1672: Kronos = F5 Informática (04x10)</t>
  </si>
  <si>
    <t>Nada da Kronos/F5 Informática (NF 1672) na pasta.</t>
  </si>
  <si>
    <t>CT-18</t>
  </si>
  <si>
    <t>NF 178446: Claudinir Isaquiel (02x02)</t>
  </si>
  <si>
    <t>Nada do Claudinir Isaquiel (NF 178446) na pasta.</t>
  </si>
  <si>
    <t>CT-19</t>
  </si>
  <si>
    <t>NF 439288: M.F. Passarinho (02x07)</t>
  </si>
  <si>
    <t>10.06.2026 - R$54,03 _ NF439.288 _ M.F. PASSARINHO ARTIGOS ELETRONICOS _ 01_07 _ PG VISA.pdf</t>
  </si>
  <si>
    <t>7 parcelas de R$ 54,03 com NF e comprovante (há um arquivo duplicado, "02_02" e "02_07" em jul). Valor da NF: o app tem R$ 324,23 e o escritório R$ 378,26; o que está nos arquivos (7 × 54,03 = 378,21) confere com o escritório.</t>
  </si>
  <si>
    <t>CT-20</t>
  </si>
  <si>
    <t>NF 229339: Márcia Auxiliadora (01x02)</t>
  </si>
  <si>
    <t>10.07.2026 - R$41,34 _ NF229339 _ MARCIA AUXILIADORA DA SILVA FRANCO CIA LTDA _ 01_02 _ PG VISA.pdf</t>
  </si>
  <si>
    <t>2 de 2 parcelas com NF e comprovante.</t>
  </si>
  <si>
    <t>CT-21</t>
  </si>
  <si>
    <t>NF 229350: Márcia Auxiliadora</t>
  </si>
  <si>
    <t>A NF 229350 (R$ 41,34) não está na pasta; só a 229339.</t>
  </si>
  <si>
    <t>CT-22</t>
  </si>
  <si>
    <t>NF 776588: BMB/Obramax (01x05)</t>
  </si>
  <si>
    <t>10.08.2026 - R$991,64 _ NF000776588 _ BMB MATERIAL DE CONSTRUCAO _ PG VISA.pdf</t>
  </si>
  <si>
    <t>NF e 1ª parcela (ago/2026) com comprovante. As demais vencem depois de 31/08.</t>
  </si>
  <si>
    <t>CT-23</t>
  </si>
  <si>
    <t>Fatura do cartão de junho/2026 (paga em 10/06)</t>
  </si>
  <si>
    <t>Faturas do cartão existem em jan, fev, mar, abr, mai, jul e ago/2026; a de JUNHO (paga em 10/06, R$ 3.746,42) não está na pasta. Há os 14 comprovantes e NFs das compras de junho.</t>
  </si>
  <si>
    <t>FB-01</t>
  </si>
  <si>
    <t>Fornecedores de bens</t>
  </si>
  <si>
    <t>211005</t>
  </si>
  <si>
    <t>NF 6942: RFC Comércio de Miudezas</t>
  </si>
  <si>
    <t>Nenhum registro do RFC na pasta. A NF foi emitida no CNPJ da igreja. Decidir: oferta, reembolso, pago de outra forma ou investigar.</t>
  </si>
  <si>
    <t>FB-02</t>
  </si>
  <si>
    <t>NF 344169: Kalunga</t>
  </si>
  <si>
    <t>Nenhum registro da Kalunga na pasta. Decidir (ver FB-01).</t>
  </si>
  <si>
    <t>FB-03</t>
  </si>
  <si>
    <t>NF 64: Vira Verão Bazar</t>
  </si>
  <si>
    <t>Nenhum registro da Vira Verão na pasta. Decidir (ver FB-01).</t>
  </si>
  <si>
    <t>FB-04</t>
  </si>
  <si>
    <t>NF 66: Estação da Central</t>
  </si>
  <si>
    <t>Nenhum registro da Estação da Central na pasta. Decidir (ver FB-01).</t>
  </si>
  <si>
    <t>FB-05</t>
  </si>
  <si>
    <t>NF 31606: Claudinei Pinhal dos Santos</t>
  </si>
  <si>
    <t>Nenhum registro do Claudinei Pinhal na pasta. Decidir (ver FB-01).</t>
  </si>
  <si>
    <t>FB-06</t>
  </si>
  <si>
    <t>NF 3763: SOS Sobrado Malhas</t>
  </si>
  <si>
    <t>Nenhum registro da SOS Sobrado na pasta. Decidir (ver FB-01).</t>
  </si>
  <si>
    <t>FB-07</t>
  </si>
  <si>
    <t>NF 9922: Tech Brasil</t>
  </si>
  <si>
    <t>Nenhum registro da Tech Brasil na pasta. Decidir (ver FB-01).</t>
  </si>
  <si>
    <t>FB-08</t>
  </si>
  <si>
    <t>NF 24553: Del Castilho Madeiras</t>
  </si>
  <si>
    <t>10.08.2026 - R$255,30 _ NF24553 _ DEL CASTILHO MADEIRAS E CONSTRUCOES _ PG ESPECIE.pdf</t>
  </si>
  <si>
    <t>NF 24553 paga em espécie em 10/08/2026 (Caixa Auxiliar), valor confere no texto. Não consta no app como pagamento: precisa ser lançado no app.</t>
  </si>
  <si>
    <t>FB-09</t>
  </si>
  <si>
    <t>NF 53836: C Cadamuro</t>
  </si>
  <si>
    <t>Nenhum registro da Cadamuro na pasta. Decidir (ver FB-01).</t>
  </si>
  <si>
    <t>FB-10</t>
  </si>
  <si>
    <t>NF 1621752: Goldensky</t>
  </si>
  <si>
    <t>Nenhum registro da Goldensky na pasta. Decidir (ver FB-01).</t>
  </si>
  <si>
    <t>FB-11</t>
  </si>
  <si>
    <t>NF 13119: PAF Utilidades e Presentes (parc. 03/04)</t>
  </si>
  <si>
    <t xml:space="preserve">15.08.2025 - R$127,45 _ NF13119 _ PAF UTILIDADES E PRESENTES _ 01_04 _ PG ESPÉCIE.pdf
22.09.2025 - R$127,45 _ NF13119 _ PAF UTILIDADES E PRESENTES _ 02_04 _ PG ESPÉCIE.pdf
21.10.2025 - R$127,45 NF13119 PAF UTILIDADES E PRESENTES 03.04 PG ESPÉCIE.pdf
15.11.2025 - R$127,45 _ NF13119 _ PAF UTILIDADES E PRESENTES _ 04.04 _ PG ESPÉCIE.pdf</t>
  </si>
  <si>
    <t>NF 13119 (PAF) paga em 4 parcelas em espécie, 15/08 a 15/11/2025. A parcela em aberto (R$ 127,49) é a 4ª, paga em 15/11/2025.</t>
  </si>
  <si>
    <t>FB-12</t>
  </si>
  <si>
    <t>NF 55032: Armarinho 25 de Agosto</t>
  </si>
  <si>
    <t>06.12.2025 - R$329,83 NF55032 ARMARINHO 25 DE AGOSTO PG ESPECIE.pdf</t>
  </si>
  <si>
    <t>NF 55032 paga em espécie em 06/12/2025.</t>
  </si>
  <si>
    <t>FB-13</t>
  </si>
  <si>
    <t>NF 120633: Sendas NF 120633</t>
  </si>
  <si>
    <t>02.01.2026 - R$135,50 _ NF120633 _ SENDAS DISTRIBUIDORA _ PG ESPECIE.pdf</t>
  </si>
  <si>
    <t>NF 120633 paga em espécie em 02/01/2026.</t>
  </si>
  <si>
    <t>FB-14</t>
  </si>
  <si>
    <t>NF 17806: Comercial Irmãos Henriques (Letra do Céu)</t>
  </si>
  <si>
    <t>13.04.2026 - R$402,80 _ NF17722 _ COMERCIAL IRMAOS HENRIQUES _ BOLETO _ PG BANKLINE.pdf</t>
  </si>
  <si>
    <t>NF 17806 (R$ 510,00) não está na pasta; há outras NFs da mesma empresa (ex.: NF 17722, R$ 402,80, 13/04/2026). A Letra do Céu e a Comercial Irmãos Henriques são a mesma empresa.</t>
  </si>
  <si>
    <t>FB-15</t>
  </si>
  <si>
    <t>NF 79483: Loc Mil</t>
  </si>
  <si>
    <t>Nenhum registro da Loc Mil na pasta. Decidir (ver FB-01).</t>
  </si>
  <si>
    <t>FB-16</t>
  </si>
  <si>
    <t>NF 11703: Handhelp Soluções</t>
  </si>
  <si>
    <t xml:space="preserve">16.07.2026 - R$850,82 _ HANDHELP SOLUCOES E INFORMATICA LTDA _ PARCELA 2.3 _ PG BANKLINE.pdf
13.08.2026 - R$833,34 _ NF11701 _ HANDHELP SOLUCOES E INFORMATICA LTDA _ PG NANKLINE.pdf</t>
  </si>
  <si>
    <t>Há 2 pagamentos (16/07 e 13/08) e a NF 11701; a NF 11703 (R$ 2.265,00) não está na pasta, e falta o pagamento de 29/06 (R$ 852,69).</t>
  </si>
  <si>
    <t>FB-17</t>
  </si>
  <si>
    <t>NF 11944439: David Bastos Rocha</t>
  </si>
  <si>
    <t>03.07.2026 - R$943,00 _ NF11950102 _ DAVID BASTOS ROCHA _ PG BANKLINE.pdf</t>
  </si>
  <si>
    <t>A NF 11944439 (R$ 960,00) não está na pasta. Há a NF 11950102 (R$ 943,00, 03/07/2026), de outro valor.</t>
  </si>
  <si>
    <t>FB-18</t>
  </si>
  <si>
    <t>NF 12156: Freedom Pro</t>
  </si>
  <si>
    <t>A NF 12156 (R$ 46,90) não está na pasta; só a NF 11540 (R$ 87,80), de 16/07.</t>
  </si>
  <si>
    <t>FB-19</t>
  </si>
  <si>
    <t>NF 105291: União Feminina Missionária</t>
  </si>
  <si>
    <t>03.08.2026 - R$34,02 _ NF105291 _ UNIAO FEMININA MISSIONARIA BATISTA DO BRASIL _ PG ESPECIE.pdf</t>
  </si>
  <si>
    <t>NF 105291 paga em espécie em 03/08/2026 (arquivo é imagem; nome e valor conferem).</t>
  </si>
  <si>
    <t>FB-20</t>
  </si>
  <si>
    <t>NF 531208: AMJLS Locações</t>
  </si>
  <si>
    <t>10.07.2026 - R$29,55 _ NF531208 _ AMJLS LOCACOES COMERCIO _ PG VISA.pdf</t>
  </si>
  <si>
    <t>NF 531208 paga no cartão em 10/07/2026; valor confere no texto.</t>
  </si>
  <si>
    <t>FB-21</t>
  </si>
  <si>
    <t>NF 141948: Sendas NF 141948</t>
  </si>
  <si>
    <t>10.09.2026 - R$1.362,38 _ NF141948 _ SENDAS DISTRIBUIDORA _ PG VISA.pdf</t>
  </si>
  <si>
    <t>A NF 141948 soma R$ 1.362,38 (201,18 + 1.161,20): paga no cartão em 10/09/2026, depois do corte.</t>
  </si>
  <si>
    <t>FB-22</t>
  </si>
  <si>
    <t>NF 141981: Sendas NF 141981</t>
  </si>
  <si>
    <t>A NF 141981 (R$ 337,35) não está na pasta. O app tem o pagamento no cartão de 10/09.</t>
  </si>
  <si>
    <t>FB-23</t>
  </si>
  <si>
    <t>NF 141936: Sendas NF 141936</t>
  </si>
  <si>
    <t>10.09.2026 - R$1.845,00 _ NF141936 _ SENDAS DISTRIBUIDORA _ PG VISA.pdf</t>
  </si>
  <si>
    <t>A NF 141936 soma R$ 1.845,00 (783,90 + 1.061,10): paga no cartão em 10/09/2026, depois do corte.</t>
  </si>
  <si>
    <t>FB-24</t>
  </si>
  <si>
    <t>NF 141936: Sendas NF 141936 (2)</t>
  </si>
  <si>
    <t>Mesma NF 141936 (segunda parte).</t>
  </si>
  <si>
    <t>FB-25</t>
  </si>
  <si>
    <t>NF 141948: Sendas NF 141948 (2)</t>
  </si>
  <si>
    <t>Mesma NF 141948 (segunda parte).</t>
  </si>
  <si>
    <t>FB-26</t>
  </si>
  <si>
    <t>NF 13558: Diluxx</t>
  </si>
  <si>
    <t>21.09.2026 - R$417,51 _ NF13558 DILUX DISTRIBUIDORA _ BOLETO.pdf</t>
  </si>
  <si>
    <t>1ª parcela (R$ 417,51 de 3) com boleto em 21/09 (imagem). As outras duas vencem depois.</t>
  </si>
  <si>
    <t>FB-27</t>
  </si>
  <si>
    <t>NF 2532: Freecolor Tintas</t>
  </si>
  <si>
    <t>Paga em 23/09/2026 (depois do corte); o app tem boleto e comprovante anexados. Não há arquivo na pasta da Tesouraria.</t>
  </si>
  <si>
    <t>FS-01</t>
  </si>
  <si>
    <t>Fornecedores de serviços</t>
  </si>
  <si>
    <t>211006</t>
  </si>
  <si>
    <t>NF 25597: D Flesh Serviços</t>
  </si>
  <si>
    <t>Resposta de jan/2026: foi pago em espécie pelo Pr. Patrick e ofertado. Falta o termo de doação e o nome do doador confirmado. NF 25597 não está na pasta.</t>
  </si>
  <si>
    <t>FS-02</t>
  </si>
  <si>
    <t>NF 184: Paulo Cid Lopes Pinto</t>
  </si>
  <si>
    <t>18.07.2025 - R$160,00 _ NF0275 _ SOLTECX CONSTRUÇOES E SOLUÇOES TECNOLOGICAS _ PG BANKLINE.pdf</t>
  </si>
  <si>
    <t>Resposta de jan/2026: foi pedido o cancelamento da NF 184, pois o valor pago foi de R$ 160,00. O escritório ainda mostra a NF aberta: confirmar o cancelamento. Há NFs da SOLTECX (R$ 160,00 de 18/07/2025, R$ 210,00 de 27/02/2026).</t>
  </si>
  <si>
    <t>FS-03</t>
  </si>
  <si>
    <t>NF 130: Luisa Helena da Costa</t>
  </si>
  <si>
    <t>A NF 130 (R$ 40,00, 14/03/2025) não está na pasta. O app tem o pagamento em espécie na Caixinha. Só há outra NF da Luisa Helena (NF 0120, R$ 87,00).</t>
  </si>
  <si>
    <t>FS-04</t>
  </si>
  <si>
    <t>NF 23: Rhaquel Hammerle (NF 23)</t>
  </si>
  <si>
    <t xml:space="preserve">17.06.2025 - R$350,00 _ NF023 _ RHAQUEL HAMMERLE DE ANDRADE _ BOLETO _ PG BANKLINE.pdf
17.06.2025 - R$350,00 _ NF023 _ RHAQUEL HAMMERLE DE ANDRADE _ BOLETO _ PG BANKLINE.pdf</t>
  </si>
  <si>
    <t>NF 023 com boleto e comprovante. Já respondida em jan/2026.</t>
  </si>
  <si>
    <t>FS-05</t>
  </si>
  <si>
    <t>NF 1047: R E M Áudio</t>
  </si>
  <si>
    <t>Nenhum registro da R E M Áudio na pasta. Decidir (ver FB-01).</t>
  </si>
  <si>
    <t>FS-06</t>
  </si>
  <si>
    <t>NF 166376: Hotelaria Accor</t>
  </si>
  <si>
    <t>08.09.2025 - R$445,10 _ NF166376 _ HOTELARIA ACCOR BRASIL SA _ PG ESPÉCIE.pdf</t>
  </si>
  <si>
    <t>NF 166376 paga em espécie em 08/09/2025 (imagem; nome e valor conferem).</t>
  </si>
  <si>
    <t>FS-07</t>
  </si>
  <si>
    <t>NF 7392: Hidro Sistemas</t>
  </si>
  <si>
    <t>Nenhum registro da Hidro Sistemas na pasta. Decidir (ver FB-01).</t>
  </si>
  <si>
    <t>FS-08</t>
  </si>
  <si>
    <t>NF 46: Rhaquel Hammerle (NF 46)</t>
  </si>
  <si>
    <t xml:space="preserve">09.01.2026 - R$ 350,00 I NF038 _ BOLETO I ELEVADOR I RHAQUEL HAMMERLE DE ANDRADE _ PG BANKLINE.pdf
10.03.2026 - R$350,00 _ NF55 _ RHAQUEL HAMMERLE _ BOLETO _ PG BANKLINE.pdf</t>
  </si>
  <si>
    <t>A NF 46 (fev/2026) não está na pasta. Há NF 038 (jan) e NF 55 (mar) do mesmo prestador; a numeração do prestador não bate com a do escritório.</t>
  </si>
  <si>
    <t>FS-09</t>
  </si>
  <si>
    <t>NF 230048: Castor Hotelaria NF 230048</t>
  </si>
  <si>
    <t>Nenhum registro do Castor Hotelaria na pasta. Decidir (ver FB-01).</t>
  </si>
  <si>
    <t>FS-10</t>
  </si>
  <si>
    <t>NF 230334: Castor Hotelaria NF 230334</t>
  </si>
  <si>
    <t>Idem FS-09 (segunda NF do mesmo hotel).</t>
  </si>
  <si>
    <t>FS-11</t>
  </si>
  <si>
    <t>NF 5: Honor Música</t>
  </si>
  <si>
    <t>06.07.2026 - R$2.000,00 _ NF05 _ HONOR MUSICA &amp; ARTE _ PG ESPÉCIE.pdf</t>
  </si>
  <si>
    <t>NF 05 da Honor Música paga em espécie em 06/07/2026.</t>
  </si>
  <si>
    <t>FS-12</t>
  </si>
  <si>
    <t>NF 309: RC Design NF 309</t>
  </si>
  <si>
    <t>NF 309 com comprovante. Compensa com o adiantamento de 18/12/2025 (AD-09).</t>
  </si>
  <si>
    <t>FS-13</t>
  </si>
  <si>
    <t>NF 10: Marco A. Herculano NF 10</t>
  </si>
  <si>
    <t xml:space="preserve">04.07.2026 - R$2.000,00 _ NF010 _ MARCO ANTONIO HERCULANO _ PG BANKLINE.pdf
05.08.2026 - R$2.000,00 _ NF09 _ MARCO ANTONIO HERCULANO _ PG BANKLINE.pdf</t>
  </si>
  <si>
    <t>A NF 10 do Marco é a NF 010 paga em 06/07/2026 (a numeração da pasta não tem zero à esquerda). Compensa com AD-29.</t>
  </si>
  <si>
    <t>FS-14</t>
  </si>
  <si>
    <t>NF 3921325: Omiexperience</t>
  </si>
  <si>
    <t>30.09.2026 - R$192,04 _ NF03921325 _ OMIE SISTEMAS _ BOLETO.pdf</t>
  </si>
  <si>
    <t>NF com boleto de R$ 192,04, pago em 30/09/2026 (depois do corte).</t>
  </si>
  <si>
    <t>FS-15</t>
  </si>
  <si>
    <t>NF 19680587: Verisure NF 19680587</t>
  </si>
  <si>
    <t>05.08.2026 - R$291,31 _ NF19310028 _ VERISURE BRASIL MONITORAMENTO _ PG BANKLINE.pdf</t>
  </si>
  <si>
    <t>As NFs 19680587 (R$ 307,93) e 19680596 (R$ 322,42) não estão na pasta; só as de julho e agosto (R$ 278,22 e R$ 291,31).</t>
  </si>
  <si>
    <t>FS-16</t>
  </si>
  <si>
    <t>NF 19680596: Verisure NF 19680596</t>
  </si>
  <si>
    <t>Idem FS-15.</t>
  </si>
  <si>
    <t>FS-17</t>
  </si>
  <si>
    <t>NF 11: Marco A. Herculano NF 11</t>
  </si>
  <si>
    <t>04.09.2026 - R$2.000,00 _ NF11 _ ASSISTENTE MUSICAL _ MARCO ANTONIO HERCULANO.pdf</t>
  </si>
  <si>
    <t>NF 11 paga em 01/09/2026 (depois do corte).</t>
  </si>
  <si>
    <t>FS-18</t>
  </si>
  <si>
    <t>NF 1016: Flávio Inaldo da Silva NF 1016</t>
  </si>
  <si>
    <t>01.09.2026 - R$2.200,00 _ NF1016 _ ASSISTENTE MUSICAL _ FLAVIO INALDO DA SILVA.pdf</t>
  </si>
  <si>
    <t>NF 1016 paga em 01/09/2026 (depois do corte).</t>
  </si>
  <si>
    <t>OU-01</t>
  </si>
  <si>
    <t>Outras pendências</t>
  </si>
  <si>
    <t>211884</t>
  </si>
  <si>
    <t>RPA a pagar: Carlos Eduardo de Santana, competência 02/2025</t>
  </si>
  <si>
    <t xml:space="preserve">07.02.2025 - R$720,05 _ CARLOS EDUARDO SANTANA _ RPA _ PG BANKLINE.pdf
06.03.2025 - R$720,05 _ RPA _ CARLOS EDUARDO DE SANTANA _ PG BANKLINE.pdf
04.04.2025 - R$720,05 _ RPA _ CARLOS EDUARDO SANTANA _ PG BANKLINE.pdf</t>
  </si>
  <si>
    <t>RPA a pagar de fev/2025 (R$ 540,04): informar a data do pagamento. Há pagamentos de R$ 720,05 em fev, mar, abr e mai/2025.</t>
  </si>
  <si>
    <t>OU-02</t>
  </si>
  <si>
    <t>RPA a pagar: Ana Patrícia, competência 02/2026 (pagamento a menor)</t>
  </si>
  <si>
    <t>05.02.2026 - R$759,99 _ RPA _ ANA PATRICIA DA SILVA DE LIMA DE OLIVEIRA _ PG BANKLINE.pdf</t>
  </si>
  <si>
    <t>RPA de fev/2026 da Ana Patrícia: pago R$ 759,99, saldo de R$ 20,00 "pagamento a menor". Decidir se paga a diferença.</t>
  </si>
  <si>
    <t>OU-03</t>
  </si>
  <si>
    <t>RPA a pagar: Tayane, competência 03/2026</t>
  </si>
  <si>
    <t xml:space="preserve">09.03.2026 - R$920,00 _ RPA _ TAYANE CLAUDIO REZENDE DE SOUZA _ PG ESPÉCIE.pdf
24.03.2026 - R$841,28 _ RPA _ TAYANE CLAUDIO REZENDE DE SOUZA .pdf</t>
  </si>
  <si>
    <t>RPA de mar/2026 da Tayane existe, com pagamentos de R$ 920,00 e R$ 841,28. Falta confirmar o saldo de R$ 373,72.</t>
  </si>
  <si>
    <t>OU-04</t>
  </si>
  <si>
    <t>211885</t>
  </si>
  <si>
    <t>Prebenda a pagar: Lucio, competência 02/2026</t>
  </si>
  <si>
    <t>Prebenda a pagar de fev/2026 (R$ 1.018,00 de saldo). Em jan/2026 o escritório recebeu, para o saldo de set/2025, a explicação "desconto do dízimo do pastor". Decidir se vale o mesmo aqui.</t>
  </si>
  <si>
    <t>OU-05</t>
  </si>
  <si>
    <t>111342 / 111795</t>
  </si>
  <si>
    <t>Extrato Bradesco consolidado de 05/2026 (conta e aplicação)</t>
  </si>
  <si>
    <t>05. MAIO.2026 _ EXTRATO UNIFICADO.pdf</t>
  </si>
  <si>
    <t>Extrato unificado do Bradesco de 05/2026 está em Pendências AL/EXTRATOS (de janeiro a julho/2026).</t>
  </si>
  <si>
    <t>OU-06</t>
  </si>
  <si>
    <t>222505 / 222506</t>
  </si>
  <si>
    <t>Contas correntes de Missões (Mundiais R$ 7.339,88 e Nacionais R$ 972,83)</t>
  </si>
  <si>
    <t xml:space="preserve">29.12.2025 - R$28.180,00 _ JUNTA DE MISSOES NACIONAIS _ PG BANKLINE.pdf
07.07.2026 - R$26.660,23 _ JUNTA DE MISSOES MUNDIAIS _ PG BANKLINE.pdf</t>
  </si>
  <si>
    <t>Contas correntes de Missões (R$ 7.339,88 e R$ 972,83): os repasses estão na pasta, mas o saldo precisa ser explicado ao escritório.</t>
  </si>
  <si>
    <t>OU-07</t>
  </si>
  <si>
    <t>111172 / 111173</t>
  </si>
  <si>
    <t>Saldo divergente do Caixa Auxiliar (R$ 448,92) e do Caixa Envelope (R$ 0,00)</t>
  </si>
  <si>
    <t>Saldo do Caixa Auxiliar (R$ 448,92) e do Caixa Envelope (R$ 0,00) divergem do escritório. O escritório pede um relatório diário de caixa que não existe na pasta.</t>
  </si>
  <si>
    <t>Resumo: quantas pendências cada classificação resolve</t>
  </si>
  <si>
    <t>Total</t>
  </si>
  <si>
    <t>% do total</t>
  </si>
  <si>
    <t>Valor das pendências por classificação (R$)</t>
  </si>
  <si>
    <t>Atenção: o valor soma o total de cada NF ou pendência; parcelas de cartão e NFs que aparecem duas vezes (adiantamento e fornecedor) entram nos dois grupos.</t>
  </si>
  <si>
    <t>Resolvidas: o que já dá para mandar ao escritório (arquivos dentro da pasta Tesouraria)</t>
  </si>
  <si>
    <t>Arquivo(s) a enviar</t>
  </si>
  <si>
    <t>Caminho dentro do ZIP</t>
  </si>
  <si>
    <t>Observação</t>
  </si>
  <si>
    <t>Pendências AL/BRADESCO/15.01.2026 - R$215,08 _ FATURA LIGHT _ SENADOR FURTADO _ PG BANKLINE.pdf</t>
  </si>
  <si>
    <t xml:space="preserve">2026 _ ARQUIVOS DE MOVIMENTO CONTÁBIL/03 - MAR-2026/01. CAIXA BRADESCO/02.MAR/02.03.2026 - R$321,62 _ FLORA ENERGIA _ PG BANKLINE.pdf
Pendências AL/BRADESCO/02.03.2026 - R$321,62 _ FLORA ENERGIA _ PG BANKLINE.pdf</t>
  </si>
  <si>
    <t xml:space="preserve">2026 _ ARQUIVOS DE MOVIMENTO CONTÁBIL/03 - MAR-2026/01. CAIXA BRADESCO/17.MAR/17.03.2026 - R$221,38 _ FLORA _ FATURA _ PG BANKLINE.pdf
Pendências AL/BRADESCO/17.03.2026 - R$221,38 _ FLORA _ FATURA _ PG BANKLINE.pdf</t>
  </si>
  <si>
    <t>2026 _ ARQUIVOS DE MOVIMENTO CONTÁBIL/04 - ABR-2026/02. CAIXA AUXILIAR/10.04.2026 - R$59,80 _ PRODESC BENFICA _ PG CARTAO.pdf</t>
  </si>
  <si>
    <t>2026 _ ARQUIVOS DE MOVIMENTO CONTÁBIL/04 - ABR-2026/18.04.2026 - R$67,00 _ NF762 _ DALLY BOY ATACADAO DE BONES E MEIAS LTDA _ PG ESPÉCIE.pdf</t>
  </si>
  <si>
    <t>2026 _ ARQUIVOS DE MOVIMENTO CONTÁBIL/04 - ABR-2026/01. CAIXA BRADESCO/20.ABRIL/20.04.2026 - R$99,00 _ PROV TELECOM _ PG BANKLINE.pdf</t>
  </si>
  <si>
    <t>2026 _ ARQUIVOS DE MOVIMENTO CONTÁBIL/08 - AGO-2026/01. CAIXA BRADESCO/03.AGO/03.08.2026 - R$380,00 _ PATRICIA CANTERO.pdf</t>
  </si>
  <si>
    <t>Pendências AL/BRADESCO/18.12.2026 - R$197,00 _ NF309 _ RC DESIGN RJ MAKETING _ PG BANKLINE.pdf</t>
  </si>
  <si>
    <t>Pendências AL/PATRICIA OLIVEIRA DA SILVA BARRETO/NFs/NF012 13.12.2024 - R$3.475,63 _ PATRICIA OLIVEIRA DA SILVA BARRETO _ PG BANKLINE.pdf</t>
  </si>
  <si>
    <t>2026 _ ARQUIVOS DE MOVIMENTO CONTÁBIL/07 - JUL-2026/01. CAIXA BRADESCO/04.JUL/04.07.2026 - R$2.000,00 _ NF010 _ MARCO ANTONIO HERCULANO _ PG BANKLINE.pdf</t>
  </si>
  <si>
    <t>2026 _ ARQUIVOS DE MOVIMENTO CONTÁBIL/08 - AGO-2026/01. CAIXA BRADESCO/27.AGO/27.08.2026 - R$1.090,00 _ NF163 _ DANIEL ALVES SOUZA _ PG BANKLINESOUZ.pdf</t>
  </si>
  <si>
    <t>2026 _ ARQUIVOS DE MOVIMENTO CONTÁBIL/08 - AGO-2026/01. CAIXA BRADESCO/28.AGO/28.08.2026 - R$600,00 _ NF164 _ DANIEL ALVES SOUZA _ PG BANKLINE.pdf</t>
  </si>
  <si>
    <t>2026 _ ARQUIVOS DE MOVIMENTO CONTÁBIL/03 - MAR-2026/03. VISA 9738/10.03.2026 - R$125,76 _ NF45298 _ MP STORE COMERCIAL LTDA _ 1_6 _ PG VISA.pdf</t>
  </si>
  <si>
    <t>2026 _ ARQUIVOS DE MOVIMENTO CONTÁBIL/04 - ABR-2026/10.04.2026 - R$36,46 _ NF22423 _ LOJA DO ALCANTARA ELETRONICA LTDA _ 1_4 _ PG VISA.pdf</t>
  </si>
  <si>
    <t>2026 _ ARQUIVOS DE MOVIMENTO CONTÁBIL/04 - ABR-2026/04. CAIXA VISA 9738/10.04.2026 - R$27,50 _ NF1.108 _ GUIRAO DISTRIBUIDORA DE SOM ACESSORIOS LTDA _ 1_4 _ PG VISA.pdf</t>
  </si>
  <si>
    <t>2026 _ ARQUIVOS DE MOVIMENTO CONTÁBIL/04 - ABR-2026/04. CAIXA VISA 9738/10.04.2026 - R$51,98 _ NF9.370 _ MODAMUSICNET LTDA _ 01_10 _ PG VISA.pdf</t>
  </si>
  <si>
    <t>2026 _ ARQUIVOS DE MOVIMENTO CONTÁBIL/05 - MAIO-2026/04. CAIXA VISA 9738/10.05.2026 - R$129,90 _ NF311.998 _ LOGIN INFORMATICA COMERCIO E REPRESENTACAO LTDA _ 01_10 _ PG VISA.pdf</t>
  </si>
  <si>
    <t>2026 _ ARQUIVOS DE MOVIMENTO CONTÁBIL/05 - MAIO-2026/04. CAIXA VISA 9738/10.05.2026 - R$189,90 _ NF1.612.586 _ TNTINFO COMERCIO DE MATERIAIS DE INFORMATICA LTDA _ 01_10 _ PG VISA.pdf</t>
  </si>
  <si>
    <t>2026 _ ARQUIVOS DE MOVIMENTO CONTÁBIL/05 - MAIO-2026/04. CAIXA VISA 9738/10.05.2026 - R$52,79 _ NF231.852 _ TNTINFO COMERCIO DE MATERIAIS DE INFORMATICA LTDA _ 01_07 _ PG VISA.pdf</t>
  </si>
  <si>
    <t>2026 _ ARQUIVOS DE MOVIMENTO CONTÁBIL/05 - MAIO-2026/04. CAIXA VISA 9738/10.05.2026 - R$65,96 _ NF12.058 _ RENOVA-TECK E-COMMERCE LTDA _ 01_10 _ PG VISA.pdf</t>
  </si>
  <si>
    <t>2026 _ ARQUIVOS DE MOVIMENTO CONTÁBIL/05 - MAIO-2026/04. CAIXA VISA 9738/10.05.2026 - R$84,37 _ NF10.465 _ SKOLTECH INFORMATICA LTDA _ 01_10 _ PG VISA.pdf</t>
  </si>
  <si>
    <t>2026 _ ARQUIVOS DE MOVIMENTO CONTÁBIL/05 - MAIO-2026/04. CAIXA VISA 9738/10.05.2026 - R$25,46 _ NF764 _ MANEHEL KAMAL AYED JUDEH _ 01_04 _ PG VISA.pdf</t>
  </si>
  <si>
    <t>2026 _ ARQUIVOS DE MOVIMENTO CONTÁBIL/06 - JUN-2026 /03. CAIXA VISA 9738/10.06.2026 - R$54,03 _ NF439.288 _ M.F. PASSARINHO ARTIGOS ELETRONICOS _ 01_07 _ PG VISA.pdf</t>
  </si>
  <si>
    <t>2026 _ ARQUIVOS DE MOVIMENTO CONTÁBIL/07 - JUL-2026/04. CAIXA VISA 9738/10.07.2026 - R$41,34 _ NF229339 _ MARCIA AUXILIADORA DA SILVA FRANCO CIA LTDA _ 01_02 _ PG VISA.pdf</t>
  </si>
  <si>
    <t>2026 _ ARQUIVOS DE MOVIMENTO CONTÁBIL/08 - AGO-2026/04. CAIXA VISA 9738/10.08.2026 - R$991,64 _ NF000776588 _ BMB MATERIAL DE CONSTRUCAO _ PG VISA.pdf</t>
  </si>
  <si>
    <t>2026 _ ARQUIVOS DE MOVIMENTO CONTÁBIL/08 - AGO-2026/02. CAIXA AUXILIAR/10.AGO/10.08.2026 - R$255,30 _ NF24553 _ DEL CASTILHO MADEIRAS E CONSTRUCOES _ PG ESPECIE.pdf</t>
  </si>
  <si>
    <t xml:space="preserve">2025 _ ARQUIVOS DE MOVIMENTO CONTÁBIL/2025 _ 3º TRIMESTRE E OUTUBRO/08 - AGO-2025 _ MALOTE/02. CAIXA AUXILIAR/15.08.2025 - R$127,45 _ NF13119 _ PAF UTILIDADES E PRESENTES _ 01_04 _ PG ESPÉCIE.pdf
2025 _ ARQUIVOS DE MOVIMENTO CONTÁBIL/2025 _ 3º TRIMESTRE E OUTUBRO/09 - SET-2025 _ MALOTE/02. CAIXA AUXILIAR/22.09.2025 - R$127,45 _ NF13119 _ PAF UTILIDADES E PRESENTES _ 02_04 _ PG ESPÉCIE.pdf
2025 _ ARQUIVOS DE MOVIMENTO CONTÁBIL/2025 _ 3º TRIMESTRE E OUTUBRO/10 - OUT-2025 _ MALOTE/02. CAIXA AUXILIAR/21.10.2025 - R$127,45 NF13119 PAF UTILIDADES E PRESENTES 03.04 PG ESPÉCIE.pdf
2025 _ ARQUIVOS DE MOVIMENTO CONTÁBIL/2025 _ NOV DEZ/11 - NOV-2025 _ MALOTE/02. CAIXA AUXILIAR/15.11.2025 - R$127,45 _ NF13119 _ PAF UTILIDADES E PRESENTES _ 04.04 _ PG ESPÉCIE.pdf</t>
  </si>
  <si>
    <t>2025 _ ARQUIVOS DE MOVIMENTO CONTÁBIL/2025 _ NOV DEZ/12 - DEZ-2025 _ MALOTE/02. CAIXA AUXILIAR/06.12.2025 - R$329,83 NF55032 ARMARINHO 25 DE AGOSTO PG ESPECIE.pdf</t>
  </si>
  <si>
    <t>2026 _ ARQUIVOS DE MOVIMENTO CONTÁBIL/01 - JAN-2026/02. CAIXA AUXILIAR/02.01.2026 - R$135,50 _ NF120633 _ SENDAS DISTRIBUIDORA _ PG ESPECIE.pdf</t>
  </si>
  <si>
    <t>2026 _ ARQUIVOS DE MOVIMENTO CONTÁBIL/08 - AGO-2026/02. CAIXA AUXILIAR/03.AGO/03.08.2026 - R$34,02 _ NF105291 _ UNIAO FEMININA MISSIONARIA BATISTA DO BRASIL _ PG ESPECIE.pdf</t>
  </si>
  <si>
    <t>2026 _ ARQUIVOS DE MOVIMENTO CONTÁBIL/07 - JUL-2026/04. CAIXA VISA 9738/10.07.2026 - R$29,55 _ NF531208 _ AMJLS LOCACOES COMERCIO _ PG VISA.pdf</t>
  </si>
  <si>
    <t>2026 _ ARQUIVOS DE MOVIMENTO CONTÁBIL/09 - SET-2026/A PAGAR _ SETEMBRO/10.09.2026 - R$1.362,38 _ NF141948 _ SENDAS DISTRIBUIDORA _ PG VISA.pdf</t>
  </si>
  <si>
    <t>2026 _ ARQUIVOS DE MOVIMENTO CONTÁBIL/09 - SET-2026/A PAGAR _ SETEMBRO/10.09.2026 - R$1.845,00 _ NF141936 _ SENDAS DISTRIBUIDORA _ PG VISA.pdf</t>
  </si>
  <si>
    <t>(documento está no app, não na pasta)</t>
  </si>
  <si>
    <t/>
  </si>
  <si>
    <t xml:space="preserve">2025 _ ARQUIVOS DE MOVIMENTO CONTÁBIL/2025 _ 2º TRIMESTRE/06 - JUN-2025 _ MALOTE/01. CAIXA BRADESCO/17.JUN/17.06.2025 - R$350,00 _ NF023 _ RHAQUEL HAMMERLE DE ANDRADE _ BOLETO _ PG BANKLINE.pdf
Pendências AL/BRADESCO/17.06.2025 - R$350,00 _ NF023 _ RHAQUEL HAMMERLE DE ANDRADE _ BOLETO _ PG BANKLINE.pdf</t>
  </si>
  <si>
    <t>2025 _ ARQUIVOS DE MOVIMENTO CONTÁBIL/2025 _ 3º TRIMESTRE E OUTUBRO/08 - AGO-2025 _ MALOTE/02. CAIXA AUXILIAR/08.09.2025 - R$445,10 _ NF166376 _ HOTELARIA ACCOR BRASIL SA _ PG ESPÉCIE.pdf</t>
  </si>
  <si>
    <t>2026 _ ARQUIVOS DE MOVIMENTO CONTÁBIL/07 - JUL-2026/02. CAIXA AUXILIAR/06.JUL/06.07.2026 - R$2.000,00 _ NF05 _ HONOR MUSICA &amp; ARTE _ PG ESPÉCIE.pdf</t>
  </si>
  <si>
    <t xml:space="preserve">2026 _ ARQUIVOS DE MOVIMENTO CONTÁBIL/07 - JUL-2026/01. CAIXA BRADESCO/04.JUL/04.07.2026 - R$2.000,00 _ NF010 _ MARCO ANTONIO HERCULANO _ PG BANKLINE.pdf
2026 _ ARQUIVOS DE MOVIMENTO CONTÁBIL/08 - AGO-2026/01. CAIXA BRADESCO/05.AGO/05.08.2026 - R$2.000,00 _ NF09 _ MARCO ANTONIO HERCULANO _ PG BANKLINE.pdf</t>
  </si>
  <si>
    <t>2026 _ ARQUIVOS DE MOVIMENTO CONTÁBIL/09 - SET-2026/01. CAIXA BRADESCO/30.SET/30.09.2026 - R$192,04 _ NF03921325 _ OMIE SISTEMAS _ BOLETO.pdf</t>
  </si>
  <si>
    <t>2026 _ ARQUIVOS DE MOVIMENTO CONTÁBIL/09 - SET-2026/01. CAIXA BRADESCO/01.SET/04.09.2026 - R$2.000,00 _ NF11 _ ASSISTENTE MUSICAL _ MARCO ANTONIO HERCULANO.pdf</t>
  </si>
  <si>
    <t>2026 _ ARQUIVOS DE MOVIMENTO CONTÁBIL/09 - SET-2026/01. CAIXA BRADESCO/01.SET/01.09.2026 - R$2.200,00 _ NF1016 _ ASSISTENTE MUSICAL _ FLAVIO INALDO DA SILVA.pdf</t>
  </si>
  <si>
    <t>Pendências AL/EXTRATOS/05. MAIO.2026 _ EXTRATO UNIFICADO.pdf</t>
  </si>
  <si>
    <t>O que só a igreja pode decidir</t>
  </si>
  <si>
    <t>O que já se sabe e o que decidir</t>
  </si>
  <si>
    <t>O que precisa ser obtido (NF, fatura, bilhete, contrato)</t>
  </si>
  <si>
    <t>O que falta</t>
  </si>
  <si>
    <t>O documento ou a explicação existe; falta responder à contabilidade</t>
  </si>
  <si>
    <t>O que responder ou completar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</si>
</sst>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$&quot; #,##0.00"/>
  </numFmts>
  <fonts count="9" x14ac:knownFonts="1">
    <font>
      <color theme="1"/>
      <family val="2"/>
      <scheme val="minor"/>
      <sz val="11"/>
      <name val="Calibri"/>
    </font>
    <font>
      <b/>
      <color rgb="FF1F3A5F"/>
      <sz val="14"/>
      <name val="Arial"/>
    </font>
    <font>
      <i/>
      <color rgb="FF555B63"/>
      <sz val="10"/>
      <name val="Arial"/>
    </font>
    <font>
      <b/>
      <color rgb="FFFFFFFF"/>
      <sz val="10"/>
      <name val="Arial"/>
    </font>
    <font>
      <b/>
      <sz val="10"/>
      <name val="Arial"/>
    </font>
    <font>
      <sz val="10"/>
      <name val="Arial"/>
    </font>
    <font>
      <i/>
      <sz val="10"/>
      <name val="Arial"/>
    </font>
    <font>
      <b/>
      <color rgb="FF1F3A5F"/>
      <sz val="10"/>
      <name val="Arial"/>
    </font>
    <font>
      <b/>
      <color rgb="FF1F3A5F"/>
      <sz val="13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AD9D5"/>
      </patternFill>
    </fill>
    <fill>
      <patternFill patternType="solid">
        <fgColor rgb="FFD8F0DC"/>
      </patternFill>
    </fill>
    <fill>
      <patternFill patternType="solid">
        <fgColor rgb="FFFFF1C9"/>
      </patternFill>
    </fill>
    <fill>
      <patternFill patternType="solid">
        <fgColor rgb="FFE3D9F5"/>
      </patternFill>
    </fill>
    <fill>
      <patternFill patternType="solid">
        <fgColor rgb="FFD9E8F7"/>
      </patternFill>
    </fill>
    <fill>
      <patternFill patternType="solid">
        <fgColor rgb="FFE9ECEF"/>
      </patternFill>
    </fill>
  </fills>
  <borders count="2">
    <border>
      <left/>
      <right/>
      <top/>
      <bottom/>
      <diagonal/>
    </border>
    <border>
      <left style="thin">
        <color rgb="FFB8BEC6"/>
      </left>
      <right style="thin">
        <color rgb="FFB8BEC6"/>
      </right>
      <top style="thin">
        <color rgb="FFB8BEC6"/>
      </top>
      <bottom style="thin">
        <color rgb="FFB8BEC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165" fontId="5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4" fillId="8" borderId="1" xfId="0" applyFont="1" applyFill="1" applyBorder="1"/>
    <xf numFmtId="0" fontId="4" fillId="8" borderId="1" xfId="0" applyFont="1" applyFill="1" applyBorder="1" applyAlignment="1">
      <alignment horizontal="center"/>
    </xf>
    <xf numFmtId="9" fontId="6" fillId="0" borderId="0" xfId="0" applyNumberFormat="1" applyFont="1" applyAlignment="1">
      <alignment horizontal="center"/>
    </xf>
    <xf numFmtId="0" fontId="7" fillId="0" borderId="0" xfId="0" applyFont="1"/>
    <xf numFmtId="0" fontId="5" fillId="4" borderId="1" xfId="0" applyFont="1" applyFill="1" applyBorder="1"/>
    <xf numFmtId="165" fontId="5" fillId="0" borderId="1" xfId="0" applyNumberFormat="1" applyFont="1" applyBorder="1"/>
    <xf numFmtId="0" fontId="5" fillId="5" borderId="1" xfId="0" applyFont="1" applyFill="1" applyBorder="1"/>
    <xf numFmtId="0" fontId="5" fillId="3" borderId="1" xfId="0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0" fontId="2" fillId="0" borderId="0" xfId="0" applyFont="1" applyAlignment="1">
      <alignment vertical="top" wrapText="1"/>
    </xf>
    <xf numFmtId="0" fontId="8" fillId="0" borderId="0" xfId="0" applyFont="1"/>
    <xf numFmtId="0" fontId="3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A5F"/>
    <pageSetUpPr fitToPage="1"/>
  </sheetPr>
  <dimension ref="A1:O138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13" customWidth="1"/>
    <col min="4" max="4" width="11" customWidth="1"/>
    <col min="5" max="5" width="12" customWidth="1"/>
    <col min="6" max="6" width="44" customWidth="1"/>
    <col min="7" max="7" width="14" customWidth="1"/>
    <col min="8" max="8" width="12" customWidth="1"/>
    <col min="9" max="9" width="14" customWidth="1"/>
    <col min="10" max="10" width="12" customWidth="1"/>
    <col min="11" max="11" width="13" customWidth="1"/>
    <col min="12" max="12" width="14" customWidth="1"/>
    <col min="13" max="13" width="26" customWidth="1"/>
    <col min="14" max="14" width="52" customWidth="1"/>
    <col min="15" max="15" width="78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44" customHeight="1" spans="1:1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ht="33" customHeight="1" spans="1:15" x14ac:dyDescent="0.25">
      <c r="A4" s="4" t="s">
        <v>17</v>
      </c>
      <c r="B4" s="5" t="s">
        <v>18</v>
      </c>
      <c r="C4" s="5" t="s">
        <v>19</v>
      </c>
      <c r="D4" s="6">
        <v>46034.625</v>
      </c>
      <c r="E4" s="7">
        <v>114.95</v>
      </c>
      <c r="F4" s="5" t="s">
        <v>20</v>
      </c>
      <c r="G4" s="8" t="s">
        <v>21</v>
      </c>
      <c r="H4" s="8" t="s">
        <v>21</v>
      </c>
      <c r="I4" s="8" t="s">
        <v>22</v>
      </c>
      <c r="J4" s="8" t="s">
        <v>23</v>
      </c>
      <c r="K4" s="8" t="s">
        <v>21</v>
      </c>
      <c r="L4" s="8" t="s">
        <v>21</v>
      </c>
      <c r="M4" s="9" t="s">
        <v>24</v>
      </c>
      <c r="N4" s="5" t="s">
        <v>25</v>
      </c>
      <c r="O4" s="5" t="s">
        <v>26</v>
      </c>
    </row>
    <row r="5" ht="33" customHeight="1" spans="1:15" x14ac:dyDescent="0.25">
      <c r="A5" s="4" t="s">
        <v>27</v>
      </c>
      <c r="B5" s="5" t="s">
        <v>18</v>
      </c>
      <c r="C5" s="5" t="s">
        <v>19</v>
      </c>
      <c r="D5" s="6">
        <v>46037.625</v>
      </c>
      <c r="E5" s="7">
        <v>215.08</v>
      </c>
      <c r="F5" s="5" t="s">
        <v>28</v>
      </c>
      <c r="G5" s="8" t="s">
        <v>22</v>
      </c>
      <c r="H5" s="8" t="s">
        <v>23</v>
      </c>
      <c r="I5" s="8" t="s">
        <v>22</v>
      </c>
      <c r="J5" s="8" t="s">
        <v>23</v>
      </c>
      <c r="K5" s="8" t="s">
        <v>23</v>
      </c>
      <c r="L5" s="8" t="s">
        <v>22</v>
      </c>
      <c r="M5" s="10" t="s">
        <v>29</v>
      </c>
      <c r="N5" s="5" t="s">
        <v>30</v>
      </c>
      <c r="O5" s="5" t="s">
        <v>31</v>
      </c>
    </row>
    <row r="6" ht="60" customHeight="1" spans="1:15" x14ac:dyDescent="0.25">
      <c r="A6" s="4" t="s">
        <v>32</v>
      </c>
      <c r="B6" s="5" t="s">
        <v>18</v>
      </c>
      <c r="C6" s="5" t="s">
        <v>19</v>
      </c>
      <c r="D6" s="6">
        <v>46063.625</v>
      </c>
      <c r="E6" s="7">
        <v>2308.56</v>
      </c>
      <c r="F6" s="5" t="s">
        <v>33</v>
      </c>
      <c r="G6" s="8" t="s">
        <v>34</v>
      </c>
      <c r="H6" s="8" t="s">
        <v>21</v>
      </c>
      <c r="I6" s="8" t="s">
        <v>22</v>
      </c>
      <c r="J6" s="8" t="s">
        <v>23</v>
      </c>
      <c r="K6" s="8" t="s">
        <v>21</v>
      </c>
      <c r="L6" s="8" t="s">
        <v>21</v>
      </c>
      <c r="M6" s="11" t="s">
        <v>35</v>
      </c>
      <c r="N6" s="5" t="s">
        <v>36</v>
      </c>
      <c r="O6" s="5" t="s">
        <v>37</v>
      </c>
    </row>
    <row r="7" ht="33" customHeight="1" spans="1:15" x14ac:dyDescent="0.25">
      <c r="A7" s="4" t="s">
        <v>38</v>
      </c>
      <c r="B7" s="5" t="s">
        <v>18</v>
      </c>
      <c r="C7" s="5" t="s">
        <v>19</v>
      </c>
      <c r="D7" s="6">
        <v>46063.625</v>
      </c>
      <c r="E7" s="7">
        <v>1541.4</v>
      </c>
      <c r="F7" s="5" t="s">
        <v>39</v>
      </c>
      <c r="G7" s="8" t="s">
        <v>21</v>
      </c>
      <c r="H7" s="8" t="s">
        <v>21</v>
      </c>
      <c r="I7" s="8" t="s">
        <v>22</v>
      </c>
      <c r="J7" s="8" t="s">
        <v>23</v>
      </c>
      <c r="K7" s="8" t="s">
        <v>21</v>
      </c>
      <c r="L7" s="8" t="s">
        <v>21</v>
      </c>
      <c r="M7" s="9" t="s">
        <v>24</v>
      </c>
      <c r="N7" s="5" t="s">
        <v>40</v>
      </c>
      <c r="O7" s="5" t="s">
        <v>41</v>
      </c>
    </row>
    <row r="8" ht="33" customHeight="1" spans="1:15" x14ac:dyDescent="0.25">
      <c r="A8" s="4" t="s">
        <v>42</v>
      </c>
      <c r="B8" s="5" t="s">
        <v>18</v>
      </c>
      <c r="C8" s="5" t="s">
        <v>19</v>
      </c>
      <c r="D8" s="6">
        <v>46063.625</v>
      </c>
      <c r="E8" s="7">
        <v>400</v>
      </c>
      <c r="F8" s="5" t="s">
        <v>43</v>
      </c>
      <c r="G8" s="8" t="s">
        <v>21</v>
      </c>
      <c r="H8" s="8" t="s">
        <v>21</v>
      </c>
      <c r="I8" s="8" t="s">
        <v>22</v>
      </c>
      <c r="J8" s="8" t="s">
        <v>23</v>
      </c>
      <c r="K8" s="8" t="s">
        <v>21</v>
      </c>
      <c r="L8" s="8" t="s">
        <v>21</v>
      </c>
      <c r="M8" s="9" t="s">
        <v>24</v>
      </c>
      <c r="N8" s="5" t="s">
        <v>40</v>
      </c>
      <c r="O8" s="5" t="s">
        <v>44</v>
      </c>
    </row>
    <row r="9" ht="30" customHeight="1" spans="1:15" x14ac:dyDescent="0.25">
      <c r="A9" s="4" t="s">
        <v>45</v>
      </c>
      <c r="B9" s="5" t="s">
        <v>18</v>
      </c>
      <c r="C9" s="5" t="s">
        <v>19</v>
      </c>
      <c r="D9" s="6">
        <v>46063.625</v>
      </c>
      <c r="E9" s="7">
        <v>400</v>
      </c>
      <c r="F9" s="5" t="s">
        <v>46</v>
      </c>
      <c r="G9" s="8" t="s">
        <v>21</v>
      </c>
      <c r="H9" s="8" t="s">
        <v>21</v>
      </c>
      <c r="I9" s="8" t="s">
        <v>22</v>
      </c>
      <c r="J9" s="8" t="s">
        <v>23</v>
      </c>
      <c r="K9" s="8" t="s">
        <v>21</v>
      </c>
      <c r="L9" s="8" t="s">
        <v>21</v>
      </c>
      <c r="M9" s="9" t="s">
        <v>24</v>
      </c>
      <c r="N9" s="5" t="s">
        <v>40</v>
      </c>
      <c r="O9" s="5" t="s">
        <v>47</v>
      </c>
    </row>
    <row r="10" ht="30" customHeight="1" spans="1:15" x14ac:dyDescent="0.25">
      <c r="A10" s="4" t="s">
        <v>48</v>
      </c>
      <c r="B10" s="5" t="s">
        <v>18</v>
      </c>
      <c r="C10" s="5" t="s">
        <v>19</v>
      </c>
      <c r="D10" s="6">
        <v>46063.625</v>
      </c>
      <c r="E10" s="7">
        <v>232.5</v>
      </c>
      <c r="F10" s="5" t="s">
        <v>49</v>
      </c>
      <c r="G10" s="8" t="s">
        <v>21</v>
      </c>
      <c r="H10" s="8" t="s">
        <v>21</v>
      </c>
      <c r="I10" s="8" t="s">
        <v>22</v>
      </c>
      <c r="J10" s="8" t="s">
        <v>23</v>
      </c>
      <c r="K10" s="8" t="s">
        <v>21</v>
      </c>
      <c r="L10" s="8" t="s">
        <v>21</v>
      </c>
      <c r="M10" s="9" t="s">
        <v>24</v>
      </c>
      <c r="N10" s="5" t="s">
        <v>40</v>
      </c>
      <c r="O10" s="5" t="s">
        <v>50</v>
      </c>
    </row>
    <row r="11" ht="33" customHeight="1" spans="1:15" x14ac:dyDescent="0.25">
      <c r="A11" s="4" t="s">
        <v>51</v>
      </c>
      <c r="B11" s="5" t="s">
        <v>18</v>
      </c>
      <c r="C11" s="5" t="s">
        <v>19</v>
      </c>
      <c r="D11" s="6">
        <v>46076.625</v>
      </c>
      <c r="E11" s="7">
        <v>1000</v>
      </c>
      <c r="F11" s="5" t="s">
        <v>52</v>
      </c>
      <c r="G11" s="8" t="s">
        <v>21</v>
      </c>
      <c r="H11" s="8" t="s">
        <v>21</v>
      </c>
      <c r="I11" s="8" t="s">
        <v>21</v>
      </c>
      <c r="J11" s="8" t="s">
        <v>23</v>
      </c>
      <c r="K11" s="8" t="s">
        <v>21</v>
      </c>
      <c r="L11" s="8" t="s">
        <v>21</v>
      </c>
      <c r="M11" s="9" t="s">
        <v>24</v>
      </c>
      <c r="N11" s="5" t="s">
        <v>40</v>
      </c>
      <c r="O11" s="5" t="s">
        <v>53</v>
      </c>
    </row>
    <row r="12" ht="33" customHeight="1" spans="1:15" x14ac:dyDescent="0.25">
      <c r="A12" s="4" t="s">
        <v>54</v>
      </c>
      <c r="B12" s="5" t="s">
        <v>18</v>
      </c>
      <c r="C12" s="5" t="s">
        <v>19</v>
      </c>
      <c r="D12" s="6">
        <v>46083.625</v>
      </c>
      <c r="E12" s="7">
        <v>321.62</v>
      </c>
      <c r="F12" s="5" t="s">
        <v>55</v>
      </c>
      <c r="G12" s="8" t="s">
        <v>22</v>
      </c>
      <c r="H12" s="8" t="s">
        <v>23</v>
      </c>
      <c r="I12" s="8" t="s">
        <v>22</v>
      </c>
      <c r="J12" s="8" t="s">
        <v>23</v>
      </c>
      <c r="K12" s="8" t="s">
        <v>23</v>
      </c>
      <c r="L12" s="8" t="s">
        <v>22</v>
      </c>
      <c r="M12" s="10" t="s">
        <v>29</v>
      </c>
      <c r="N12" s="5" t="s">
        <v>56</v>
      </c>
      <c r="O12" s="5" t="s">
        <v>57</v>
      </c>
    </row>
    <row r="13" ht="33" customHeight="1" spans="1:15" x14ac:dyDescent="0.25">
      <c r="A13" s="4" t="s">
        <v>58</v>
      </c>
      <c r="B13" s="5" t="s">
        <v>18</v>
      </c>
      <c r="C13" s="5" t="s">
        <v>19</v>
      </c>
      <c r="D13" s="6">
        <v>46098.625</v>
      </c>
      <c r="E13" s="7">
        <v>221.38</v>
      </c>
      <c r="F13" s="5" t="s">
        <v>55</v>
      </c>
      <c r="G13" s="8" t="s">
        <v>22</v>
      </c>
      <c r="H13" s="8" t="s">
        <v>23</v>
      </c>
      <c r="I13" s="8" t="s">
        <v>22</v>
      </c>
      <c r="J13" s="8" t="s">
        <v>23</v>
      </c>
      <c r="K13" s="8" t="s">
        <v>23</v>
      </c>
      <c r="L13" s="8" t="s">
        <v>22</v>
      </c>
      <c r="M13" s="10" t="s">
        <v>29</v>
      </c>
      <c r="N13" s="5" t="s">
        <v>59</v>
      </c>
      <c r="O13" s="5" t="s">
        <v>60</v>
      </c>
    </row>
    <row r="14" ht="30" customHeight="1" spans="1:15" x14ac:dyDescent="0.25">
      <c r="A14" s="4" t="s">
        <v>61</v>
      </c>
      <c r="B14" s="5" t="s">
        <v>18</v>
      </c>
      <c r="C14" s="5" t="s">
        <v>19</v>
      </c>
      <c r="D14" s="6">
        <v>46105.625</v>
      </c>
      <c r="E14" s="7">
        <v>1000</v>
      </c>
      <c r="F14" s="5" t="s">
        <v>52</v>
      </c>
      <c r="G14" s="8" t="s">
        <v>21</v>
      </c>
      <c r="H14" s="8" t="s">
        <v>21</v>
      </c>
      <c r="I14" s="8" t="s">
        <v>21</v>
      </c>
      <c r="J14" s="8" t="s">
        <v>23</v>
      </c>
      <c r="K14" s="8" t="s">
        <v>21</v>
      </c>
      <c r="L14" s="8" t="s">
        <v>21</v>
      </c>
      <c r="M14" s="9" t="s">
        <v>24</v>
      </c>
      <c r="N14" s="5" t="s">
        <v>40</v>
      </c>
      <c r="O14" s="5" t="s">
        <v>62</v>
      </c>
    </row>
    <row r="15" ht="33" customHeight="1" spans="1:15" x14ac:dyDescent="0.25">
      <c r="A15" s="4" t="s">
        <v>63</v>
      </c>
      <c r="B15" s="5" t="s">
        <v>18</v>
      </c>
      <c r="C15" s="5" t="s">
        <v>19</v>
      </c>
      <c r="D15" s="6">
        <v>46122.625</v>
      </c>
      <c r="E15" s="7">
        <v>59.8</v>
      </c>
      <c r="F15" s="5" t="s">
        <v>64</v>
      </c>
      <c r="G15" s="8" t="s">
        <v>22</v>
      </c>
      <c r="H15" s="8" t="s">
        <v>22</v>
      </c>
      <c r="I15" s="8" t="s">
        <v>22</v>
      </c>
      <c r="J15" s="8" t="s">
        <v>23</v>
      </c>
      <c r="K15" s="8" t="s">
        <v>23</v>
      </c>
      <c r="L15" s="8" t="s">
        <v>21</v>
      </c>
      <c r="M15" s="10" t="s">
        <v>29</v>
      </c>
      <c r="N15" s="5" t="s">
        <v>65</v>
      </c>
      <c r="O15" s="5" t="s">
        <v>66</v>
      </c>
    </row>
    <row r="16" ht="30" customHeight="1" spans="1:15" x14ac:dyDescent="0.25">
      <c r="A16" s="4" t="s">
        <v>67</v>
      </c>
      <c r="B16" s="5" t="s">
        <v>18</v>
      </c>
      <c r="C16" s="5" t="s">
        <v>19</v>
      </c>
      <c r="D16" s="6">
        <v>46122.625</v>
      </c>
      <c r="E16" s="7">
        <v>35</v>
      </c>
      <c r="F16" s="5" t="s">
        <v>68</v>
      </c>
      <c r="G16" s="8" t="s">
        <v>21</v>
      </c>
      <c r="H16" s="8" t="s">
        <v>21</v>
      </c>
      <c r="I16" s="8" t="s">
        <v>22</v>
      </c>
      <c r="J16" s="8" t="s">
        <v>23</v>
      </c>
      <c r="K16" s="8" t="s">
        <v>21</v>
      </c>
      <c r="L16" s="8" t="s">
        <v>21</v>
      </c>
      <c r="M16" s="9" t="s">
        <v>24</v>
      </c>
      <c r="N16" s="5" t="s">
        <v>40</v>
      </c>
      <c r="O16" s="5" t="s">
        <v>69</v>
      </c>
    </row>
    <row r="17" ht="33" customHeight="1" spans="1:15" x14ac:dyDescent="0.25">
      <c r="A17" s="4" t="s">
        <v>70</v>
      </c>
      <c r="B17" s="5" t="s">
        <v>18</v>
      </c>
      <c r="C17" s="5" t="s">
        <v>19</v>
      </c>
      <c r="D17" s="6">
        <v>46122.625</v>
      </c>
      <c r="E17" s="7">
        <v>15.9</v>
      </c>
      <c r="F17" s="5" t="s">
        <v>71</v>
      </c>
      <c r="G17" s="8" t="s">
        <v>34</v>
      </c>
      <c r="H17" s="8" t="s">
        <v>34</v>
      </c>
      <c r="I17" s="8" t="s">
        <v>22</v>
      </c>
      <c r="J17" s="8" t="s">
        <v>23</v>
      </c>
      <c r="K17" s="8" t="s">
        <v>21</v>
      </c>
      <c r="L17" s="8" t="s">
        <v>21</v>
      </c>
      <c r="M17" s="9" t="s">
        <v>24</v>
      </c>
      <c r="N17" s="5" t="s">
        <v>65</v>
      </c>
      <c r="O17" s="5" t="s">
        <v>72</v>
      </c>
    </row>
    <row r="18" ht="30" customHeight="1" spans="1:15" x14ac:dyDescent="0.25">
      <c r="A18" s="4" t="s">
        <v>73</v>
      </c>
      <c r="B18" s="5" t="s">
        <v>18</v>
      </c>
      <c r="C18" s="5" t="s">
        <v>19</v>
      </c>
      <c r="D18" s="6">
        <v>46127.625</v>
      </c>
      <c r="E18" s="7">
        <v>295</v>
      </c>
      <c r="F18" s="5" t="s">
        <v>74</v>
      </c>
      <c r="G18" s="8" t="s">
        <v>21</v>
      </c>
      <c r="H18" s="8" t="s">
        <v>21</v>
      </c>
      <c r="I18" s="8" t="s">
        <v>21</v>
      </c>
      <c r="J18" s="8" t="s">
        <v>23</v>
      </c>
      <c r="K18" s="8" t="s">
        <v>21</v>
      </c>
      <c r="L18" s="8" t="s">
        <v>21</v>
      </c>
      <c r="M18" s="9" t="s">
        <v>24</v>
      </c>
      <c r="N18" s="5" t="s">
        <v>40</v>
      </c>
      <c r="O18" s="5" t="s">
        <v>75</v>
      </c>
    </row>
    <row r="19" ht="33" customHeight="1" spans="1:15" x14ac:dyDescent="0.25">
      <c r="A19" s="4" t="s">
        <v>76</v>
      </c>
      <c r="B19" s="5" t="s">
        <v>18</v>
      </c>
      <c r="C19" s="5" t="s">
        <v>19</v>
      </c>
      <c r="D19" s="6">
        <v>46127.625</v>
      </c>
      <c r="E19" s="7">
        <v>25.74</v>
      </c>
      <c r="F19" s="5" t="s">
        <v>77</v>
      </c>
      <c r="G19" s="8" t="s">
        <v>21</v>
      </c>
      <c r="H19" s="8" t="s">
        <v>21</v>
      </c>
      <c r="I19" s="8" t="s">
        <v>21</v>
      </c>
      <c r="J19" s="8" t="s">
        <v>23</v>
      </c>
      <c r="K19" s="8" t="s">
        <v>21</v>
      </c>
      <c r="L19" s="8" t="s">
        <v>21</v>
      </c>
      <c r="M19" s="9" t="s">
        <v>24</v>
      </c>
      <c r="N19" s="5" t="s">
        <v>40</v>
      </c>
      <c r="O19" s="5" t="s">
        <v>78</v>
      </c>
    </row>
    <row r="20" ht="33" customHeight="1" spans="1:15" x14ac:dyDescent="0.25">
      <c r="A20" s="4" t="s">
        <v>79</v>
      </c>
      <c r="B20" s="5" t="s">
        <v>18</v>
      </c>
      <c r="C20" s="5" t="s">
        <v>19</v>
      </c>
      <c r="D20" s="6">
        <v>46130.625</v>
      </c>
      <c r="E20" s="7">
        <v>67</v>
      </c>
      <c r="F20" s="5" t="s">
        <v>80</v>
      </c>
      <c r="G20" s="8" t="s">
        <v>22</v>
      </c>
      <c r="H20" s="8" t="s">
        <v>22</v>
      </c>
      <c r="I20" s="8" t="s">
        <v>22</v>
      </c>
      <c r="J20" s="8" t="s">
        <v>23</v>
      </c>
      <c r="K20" s="8" t="s">
        <v>23</v>
      </c>
      <c r="L20" s="8" t="s">
        <v>21</v>
      </c>
      <c r="M20" s="10" t="s">
        <v>29</v>
      </c>
      <c r="N20" s="5" t="s">
        <v>81</v>
      </c>
      <c r="O20" s="5" t="s">
        <v>82</v>
      </c>
    </row>
    <row r="21" ht="30" customHeight="1" spans="1:15" x14ac:dyDescent="0.25">
      <c r="A21" s="4" t="s">
        <v>83</v>
      </c>
      <c r="B21" s="5" t="s">
        <v>18</v>
      </c>
      <c r="C21" s="5" t="s">
        <v>19</v>
      </c>
      <c r="D21" s="6">
        <v>46132.625</v>
      </c>
      <c r="E21" s="7">
        <v>99</v>
      </c>
      <c r="F21" s="5" t="s">
        <v>84</v>
      </c>
      <c r="G21" s="8" t="s">
        <v>22</v>
      </c>
      <c r="H21" s="8" t="s">
        <v>23</v>
      </c>
      <c r="I21" s="8" t="s">
        <v>22</v>
      </c>
      <c r="J21" s="8" t="s">
        <v>23</v>
      </c>
      <c r="K21" s="8" t="s">
        <v>23</v>
      </c>
      <c r="L21" s="8" t="s">
        <v>21</v>
      </c>
      <c r="M21" s="10" t="s">
        <v>29</v>
      </c>
      <c r="N21" s="5" t="s">
        <v>85</v>
      </c>
      <c r="O21" s="5" t="s">
        <v>86</v>
      </c>
    </row>
    <row r="22" ht="33" customHeight="1" spans="1:15" x14ac:dyDescent="0.25">
      <c r="A22" s="4" t="s">
        <v>87</v>
      </c>
      <c r="B22" s="5" t="s">
        <v>18</v>
      </c>
      <c r="C22" s="5" t="s">
        <v>19</v>
      </c>
      <c r="D22" s="6">
        <v>46153.625</v>
      </c>
      <c r="E22" s="7">
        <v>60.84</v>
      </c>
      <c r="F22" s="5" t="s">
        <v>88</v>
      </c>
      <c r="G22" s="8" t="s">
        <v>21</v>
      </c>
      <c r="H22" s="8" t="s">
        <v>21</v>
      </c>
      <c r="I22" s="8" t="s">
        <v>22</v>
      </c>
      <c r="J22" s="8" t="s">
        <v>23</v>
      </c>
      <c r="K22" s="8" t="s">
        <v>21</v>
      </c>
      <c r="L22" s="8" t="s">
        <v>21</v>
      </c>
      <c r="M22" s="9" t="s">
        <v>24</v>
      </c>
      <c r="N22" s="5" t="s">
        <v>40</v>
      </c>
      <c r="O22" s="5" t="s">
        <v>89</v>
      </c>
    </row>
    <row r="23" ht="30" customHeight="1" spans="1:15" x14ac:dyDescent="0.25">
      <c r="A23" s="4" t="s">
        <v>90</v>
      </c>
      <c r="B23" s="5" t="s">
        <v>18</v>
      </c>
      <c r="C23" s="5" t="s">
        <v>19</v>
      </c>
      <c r="D23" s="6">
        <v>46153.625</v>
      </c>
      <c r="E23" s="7">
        <v>41.42</v>
      </c>
      <c r="F23" s="5" t="s">
        <v>91</v>
      </c>
      <c r="G23" s="8" t="s">
        <v>21</v>
      </c>
      <c r="H23" s="8" t="s">
        <v>21</v>
      </c>
      <c r="I23" s="8" t="s">
        <v>22</v>
      </c>
      <c r="J23" s="8" t="s">
        <v>23</v>
      </c>
      <c r="K23" s="8" t="s">
        <v>21</v>
      </c>
      <c r="L23" s="8" t="s">
        <v>21</v>
      </c>
      <c r="M23" s="9" t="s">
        <v>24</v>
      </c>
      <c r="N23" s="5" t="s">
        <v>40</v>
      </c>
      <c r="O23" s="5" t="s">
        <v>92</v>
      </c>
    </row>
    <row r="24" ht="33" customHeight="1" spans="1:15" x14ac:dyDescent="0.25">
      <c r="A24" s="4" t="s">
        <v>93</v>
      </c>
      <c r="B24" s="5" t="s">
        <v>18</v>
      </c>
      <c r="C24" s="5" t="s">
        <v>19</v>
      </c>
      <c r="D24" s="6">
        <v>46153.625</v>
      </c>
      <c r="E24" s="7">
        <v>25.2</v>
      </c>
      <c r="F24" s="5" t="s">
        <v>94</v>
      </c>
      <c r="G24" s="8" t="s">
        <v>21</v>
      </c>
      <c r="H24" s="8" t="s">
        <v>21</v>
      </c>
      <c r="I24" s="8" t="s">
        <v>21</v>
      </c>
      <c r="J24" s="8" t="s">
        <v>23</v>
      </c>
      <c r="K24" s="8" t="s">
        <v>21</v>
      </c>
      <c r="L24" s="8" t="s">
        <v>21</v>
      </c>
      <c r="M24" s="9" t="s">
        <v>24</v>
      </c>
      <c r="N24" s="5" t="s">
        <v>40</v>
      </c>
      <c r="O24" s="5" t="s">
        <v>95</v>
      </c>
    </row>
    <row r="25" ht="30" customHeight="1" spans="1:15" x14ac:dyDescent="0.25">
      <c r="A25" s="4" t="s">
        <v>96</v>
      </c>
      <c r="B25" s="5" t="s">
        <v>18</v>
      </c>
      <c r="C25" s="5" t="s">
        <v>19</v>
      </c>
      <c r="D25" s="6">
        <v>46157.625</v>
      </c>
      <c r="E25" s="7">
        <v>2538.18</v>
      </c>
      <c r="F25" s="5" t="s">
        <v>28</v>
      </c>
      <c r="G25" s="8" t="s">
        <v>21</v>
      </c>
      <c r="H25" s="8" t="s">
        <v>21</v>
      </c>
      <c r="I25" s="8" t="s">
        <v>21</v>
      </c>
      <c r="J25" s="8" t="s">
        <v>23</v>
      </c>
      <c r="K25" s="8" t="s">
        <v>21</v>
      </c>
      <c r="L25" s="8" t="s">
        <v>21</v>
      </c>
      <c r="M25" s="9" t="s">
        <v>24</v>
      </c>
      <c r="N25" s="5" t="s">
        <v>40</v>
      </c>
      <c r="O25" s="5" t="s">
        <v>97</v>
      </c>
    </row>
    <row r="26" ht="30" customHeight="1" spans="1:15" x14ac:dyDescent="0.25">
      <c r="A26" s="4" t="s">
        <v>98</v>
      </c>
      <c r="B26" s="5" t="s">
        <v>18</v>
      </c>
      <c r="C26" s="5" t="s">
        <v>19</v>
      </c>
      <c r="D26" s="6">
        <v>46157.625</v>
      </c>
      <c r="E26" s="7">
        <v>242.36</v>
      </c>
      <c r="F26" s="5" t="s">
        <v>28</v>
      </c>
      <c r="G26" s="8" t="s">
        <v>21</v>
      </c>
      <c r="H26" s="8" t="s">
        <v>21</v>
      </c>
      <c r="I26" s="8" t="s">
        <v>21</v>
      </c>
      <c r="J26" s="8" t="s">
        <v>23</v>
      </c>
      <c r="K26" s="8" t="s">
        <v>21</v>
      </c>
      <c r="L26" s="8" t="s">
        <v>21</v>
      </c>
      <c r="M26" s="9" t="s">
        <v>24</v>
      </c>
      <c r="N26" s="5" t="s">
        <v>40</v>
      </c>
      <c r="O26" s="5" t="s">
        <v>99</v>
      </c>
    </row>
    <row r="27" ht="30" customHeight="1" spans="1:15" x14ac:dyDescent="0.25">
      <c r="A27" s="4" t="s">
        <v>100</v>
      </c>
      <c r="B27" s="5" t="s">
        <v>18</v>
      </c>
      <c r="C27" s="5" t="s">
        <v>19</v>
      </c>
      <c r="D27" s="6">
        <v>46218.625</v>
      </c>
      <c r="E27" s="7">
        <v>1379.86</v>
      </c>
      <c r="F27" s="5" t="s">
        <v>28</v>
      </c>
      <c r="G27" s="8" t="s">
        <v>21</v>
      </c>
      <c r="H27" s="8" t="s">
        <v>21</v>
      </c>
      <c r="I27" s="8" t="s">
        <v>21</v>
      </c>
      <c r="J27" s="8" t="s">
        <v>23</v>
      </c>
      <c r="K27" s="8" t="s">
        <v>21</v>
      </c>
      <c r="L27" s="8" t="s">
        <v>21</v>
      </c>
      <c r="M27" s="9" t="s">
        <v>24</v>
      </c>
      <c r="N27" s="5" t="s">
        <v>40</v>
      </c>
      <c r="O27" s="5" t="s">
        <v>101</v>
      </c>
    </row>
    <row r="28" ht="30" customHeight="1" spans="1:15" x14ac:dyDescent="0.25">
      <c r="A28" s="4" t="s">
        <v>102</v>
      </c>
      <c r="B28" s="5" t="s">
        <v>18</v>
      </c>
      <c r="C28" s="5" t="s">
        <v>19</v>
      </c>
      <c r="D28" s="6">
        <v>46218.625</v>
      </c>
      <c r="E28" s="7">
        <v>303.2</v>
      </c>
      <c r="F28" s="5" t="s">
        <v>28</v>
      </c>
      <c r="G28" s="8" t="s">
        <v>21</v>
      </c>
      <c r="H28" s="8" t="s">
        <v>21</v>
      </c>
      <c r="I28" s="8" t="s">
        <v>21</v>
      </c>
      <c r="J28" s="8" t="s">
        <v>23</v>
      </c>
      <c r="K28" s="8" t="s">
        <v>21</v>
      </c>
      <c r="L28" s="8" t="s">
        <v>21</v>
      </c>
      <c r="M28" s="9" t="s">
        <v>24</v>
      </c>
      <c r="N28" s="5" t="s">
        <v>40</v>
      </c>
      <c r="O28" s="5" t="s">
        <v>103</v>
      </c>
    </row>
    <row r="29" ht="33" customHeight="1" spans="1:15" x14ac:dyDescent="0.25">
      <c r="A29" s="4" t="s">
        <v>104</v>
      </c>
      <c r="B29" s="5" t="s">
        <v>18</v>
      </c>
      <c r="C29" s="5" t="s">
        <v>19</v>
      </c>
      <c r="D29" s="6">
        <v>46237.625</v>
      </c>
      <c r="E29" s="7">
        <v>380</v>
      </c>
      <c r="F29" s="5" t="s">
        <v>105</v>
      </c>
      <c r="G29" s="8" t="s">
        <v>22</v>
      </c>
      <c r="H29" s="8" t="s">
        <v>34</v>
      </c>
      <c r="I29" s="8" t="s">
        <v>34</v>
      </c>
      <c r="J29" s="8" t="s">
        <v>23</v>
      </c>
      <c r="K29" s="8" t="s">
        <v>23</v>
      </c>
      <c r="L29" s="8" t="s">
        <v>21</v>
      </c>
      <c r="M29" s="10" t="s">
        <v>29</v>
      </c>
      <c r="N29" s="5" t="s">
        <v>106</v>
      </c>
      <c r="O29" s="5" t="s">
        <v>107</v>
      </c>
    </row>
    <row r="30" ht="33" customHeight="1" spans="1:15" x14ac:dyDescent="0.25">
      <c r="A30" s="4" t="s">
        <v>108</v>
      </c>
      <c r="B30" s="5" t="s">
        <v>18</v>
      </c>
      <c r="C30" s="5" t="s">
        <v>19</v>
      </c>
      <c r="D30" s="6">
        <v>46259.625</v>
      </c>
      <c r="E30" s="7">
        <v>540</v>
      </c>
      <c r="F30" s="5" t="s">
        <v>109</v>
      </c>
      <c r="G30" s="8" t="s">
        <v>22</v>
      </c>
      <c r="H30" s="8" t="s">
        <v>22</v>
      </c>
      <c r="I30" s="8" t="s">
        <v>22</v>
      </c>
      <c r="J30" s="8" t="s">
        <v>23</v>
      </c>
      <c r="K30" s="8" t="s">
        <v>21</v>
      </c>
      <c r="L30" s="8" t="s">
        <v>21</v>
      </c>
      <c r="M30" s="12" t="s">
        <v>110</v>
      </c>
      <c r="N30" s="5" t="s">
        <v>111</v>
      </c>
      <c r="O30" s="5" t="s">
        <v>112</v>
      </c>
    </row>
    <row r="31" ht="33" customHeight="1" spans="1:15" x14ac:dyDescent="0.25">
      <c r="A31" s="4" t="s">
        <v>113</v>
      </c>
      <c r="B31" s="5" t="s">
        <v>114</v>
      </c>
      <c r="C31" s="5" t="s">
        <v>115</v>
      </c>
      <c r="D31" s="6">
        <v>45437.625</v>
      </c>
      <c r="E31" s="7">
        <v>75</v>
      </c>
      <c r="F31" s="5" t="s">
        <v>116</v>
      </c>
      <c r="G31" s="8" t="s">
        <v>21</v>
      </c>
      <c r="H31" s="8" t="s">
        <v>21</v>
      </c>
      <c r="I31" s="8" t="s">
        <v>21</v>
      </c>
      <c r="J31" s="8" t="s">
        <v>23</v>
      </c>
      <c r="K31" s="8" t="s">
        <v>22</v>
      </c>
      <c r="L31" s="8" t="s">
        <v>22</v>
      </c>
      <c r="M31" s="12" t="s">
        <v>110</v>
      </c>
      <c r="N31" s="5" t="s">
        <v>40</v>
      </c>
      <c r="O31" s="5" t="s">
        <v>117</v>
      </c>
    </row>
    <row r="32" ht="46.5" customHeight="1" spans="1:15" x14ac:dyDescent="0.25">
      <c r="A32" s="4" t="s">
        <v>118</v>
      </c>
      <c r="B32" s="5" t="s">
        <v>114</v>
      </c>
      <c r="C32" s="5" t="s">
        <v>115</v>
      </c>
      <c r="D32" s="6">
        <v>45451.625</v>
      </c>
      <c r="E32" s="7">
        <v>1253.79</v>
      </c>
      <c r="F32" s="5" t="s">
        <v>119</v>
      </c>
      <c r="G32" s="8" t="s">
        <v>21</v>
      </c>
      <c r="H32" s="8" t="s">
        <v>23</v>
      </c>
      <c r="I32" s="8" t="s">
        <v>22</v>
      </c>
      <c r="J32" s="8" t="s">
        <v>23</v>
      </c>
      <c r="K32" s="8" t="s">
        <v>22</v>
      </c>
      <c r="L32" s="8" t="s">
        <v>22</v>
      </c>
      <c r="M32" s="12" t="s">
        <v>110</v>
      </c>
      <c r="N32" s="5" t="s">
        <v>40</v>
      </c>
      <c r="O32" s="5" t="s">
        <v>120</v>
      </c>
    </row>
    <row r="33" ht="33" customHeight="1" spans="1:15" x14ac:dyDescent="0.25">
      <c r="A33" s="4" t="s">
        <v>121</v>
      </c>
      <c r="B33" s="5" t="s">
        <v>114</v>
      </c>
      <c r="C33" s="5" t="s">
        <v>115</v>
      </c>
      <c r="D33" s="6">
        <v>45473.625</v>
      </c>
      <c r="E33" s="7">
        <v>280</v>
      </c>
      <c r="F33" s="5" t="s">
        <v>122</v>
      </c>
      <c r="G33" s="8" t="s">
        <v>21</v>
      </c>
      <c r="H33" s="8" t="s">
        <v>23</v>
      </c>
      <c r="I33" s="8" t="s">
        <v>21</v>
      </c>
      <c r="J33" s="8" t="s">
        <v>23</v>
      </c>
      <c r="K33" s="8" t="s">
        <v>22</v>
      </c>
      <c r="L33" s="8" t="s">
        <v>22</v>
      </c>
      <c r="M33" s="12" t="s">
        <v>110</v>
      </c>
      <c r="N33" s="5" t="s">
        <v>40</v>
      </c>
      <c r="O33" s="5" t="s">
        <v>123</v>
      </c>
    </row>
    <row r="34" ht="33" customHeight="1" spans="1:15" x14ac:dyDescent="0.25">
      <c r="A34" s="4" t="s">
        <v>124</v>
      </c>
      <c r="B34" s="5" t="s">
        <v>114</v>
      </c>
      <c r="C34" s="5" t="s">
        <v>115</v>
      </c>
      <c r="D34" s="6">
        <v>45516.625</v>
      </c>
      <c r="E34" s="7">
        <v>10000</v>
      </c>
      <c r="F34" s="5" t="s">
        <v>125</v>
      </c>
      <c r="G34" s="8" t="s">
        <v>21</v>
      </c>
      <c r="H34" s="8" t="s">
        <v>23</v>
      </c>
      <c r="I34" s="8" t="s">
        <v>22</v>
      </c>
      <c r="J34" s="8" t="s">
        <v>23</v>
      </c>
      <c r="K34" s="8" t="s">
        <v>34</v>
      </c>
      <c r="L34" s="8" t="s">
        <v>34</v>
      </c>
      <c r="M34" s="12" t="s">
        <v>110</v>
      </c>
      <c r="N34" s="5" t="s">
        <v>40</v>
      </c>
      <c r="O34" s="5" t="s">
        <v>126</v>
      </c>
    </row>
    <row r="35" ht="60" customHeight="1" spans="1:15" x14ac:dyDescent="0.25">
      <c r="A35" s="4" t="s">
        <v>127</v>
      </c>
      <c r="B35" s="5" t="s">
        <v>114</v>
      </c>
      <c r="C35" s="5" t="s">
        <v>115</v>
      </c>
      <c r="D35" s="6">
        <v>45641.625</v>
      </c>
      <c r="E35" s="7">
        <v>203</v>
      </c>
      <c r="F35" s="5" t="s">
        <v>128</v>
      </c>
      <c r="G35" s="8" t="s">
        <v>21</v>
      </c>
      <c r="H35" s="8" t="s">
        <v>34</v>
      </c>
      <c r="I35" s="8" t="s">
        <v>21</v>
      </c>
      <c r="J35" s="8" t="s">
        <v>23</v>
      </c>
      <c r="K35" s="8" t="s">
        <v>22</v>
      </c>
      <c r="L35" s="8" t="s">
        <v>22</v>
      </c>
      <c r="M35" s="13" t="s">
        <v>129</v>
      </c>
      <c r="N35" s="5" t="s">
        <v>40</v>
      </c>
      <c r="O35" s="5" t="s">
        <v>130</v>
      </c>
    </row>
    <row r="36" ht="33" customHeight="1" spans="1:15" x14ac:dyDescent="0.25">
      <c r="A36" s="4" t="s">
        <v>131</v>
      </c>
      <c r="B36" s="5" t="s">
        <v>114</v>
      </c>
      <c r="C36" s="5" t="s">
        <v>115</v>
      </c>
      <c r="D36" s="6">
        <v>45641.625</v>
      </c>
      <c r="E36" s="7">
        <v>26.77</v>
      </c>
      <c r="F36" s="5" t="s">
        <v>132</v>
      </c>
      <c r="G36" s="8" t="s">
        <v>22</v>
      </c>
      <c r="H36" s="8" t="s">
        <v>22</v>
      </c>
      <c r="I36" s="8" t="s">
        <v>22</v>
      </c>
      <c r="J36" s="8" t="s">
        <v>23</v>
      </c>
      <c r="K36" s="8" t="s">
        <v>22</v>
      </c>
      <c r="L36" s="8" t="s">
        <v>22</v>
      </c>
      <c r="M36" s="11" t="s">
        <v>35</v>
      </c>
      <c r="N36" s="5" t="s">
        <v>133</v>
      </c>
      <c r="O36" s="5" t="s">
        <v>134</v>
      </c>
    </row>
    <row r="37" ht="33" customHeight="1" spans="1:15" x14ac:dyDescent="0.25">
      <c r="A37" s="4" t="s">
        <v>135</v>
      </c>
      <c r="B37" s="5" t="s">
        <v>114</v>
      </c>
      <c r="C37" s="5" t="s">
        <v>115</v>
      </c>
      <c r="D37" s="6">
        <v>45718.625</v>
      </c>
      <c r="E37" s="7">
        <v>200</v>
      </c>
      <c r="F37" s="5" t="s">
        <v>122</v>
      </c>
      <c r="G37" s="8" t="s">
        <v>21</v>
      </c>
      <c r="H37" s="8" t="s">
        <v>23</v>
      </c>
      <c r="I37" s="8" t="s">
        <v>21</v>
      </c>
      <c r="J37" s="8" t="s">
        <v>23</v>
      </c>
      <c r="K37" s="8" t="s">
        <v>22</v>
      </c>
      <c r="L37" s="8" t="s">
        <v>22</v>
      </c>
      <c r="M37" s="12" t="s">
        <v>110</v>
      </c>
      <c r="N37" s="5" t="s">
        <v>40</v>
      </c>
      <c r="O37" s="5" t="s">
        <v>123</v>
      </c>
    </row>
    <row r="38" ht="30" customHeight="1" spans="1:15" x14ac:dyDescent="0.25">
      <c r="A38" s="4" t="s">
        <v>136</v>
      </c>
      <c r="B38" s="5" t="s">
        <v>114</v>
      </c>
      <c r="C38" s="5" t="s">
        <v>115</v>
      </c>
      <c r="D38" s="6">
        <v>45838.625</v>
      </c>
      <c r="E38" s="7">
        <v>1200</v>
      </c>
      <c r="F38" s="5" t="s">
        <v>125</v>
      </c>
      <c r="G38" s="8" t="s">
        <v>21</v>
      </c>
      <c r="H38" s="8" t="s">
        <v>23</v>
      </c>
      <c r="I38" s="8" t="s">
        <v>21</v>
      </c>
      <c r="J38" s="8" t="s">
        <v>23</v>
      </c>
      <c r="K38" s="8" t="s">
        <v>21</v>
      </c>
      <c r="L38" s="8" t="s">
        <v>21</v>
      </c>
      <c r="M38" s="12" t="s">
        <v>110</v>
      </c>
      <c r="N38" s="5" t="s">
        <v>40</v>
      </c>
      <c r="O38" s="5" t="s">
        <v>137</v>
      </c>
    </row>
    <row r="39" ht="33" customHeight="1" spans="1:15" x14ac:dyDescent="0.25">
      <c r="A39" s="4" t="s">
        <v>138</v>
      </c>
      <c r="B39" s="5" t="s">
        <v>114</v>
      </c>
      <c r="C39" s="5" t="s">
        <v>115</v>
      </c>
      <c r="D39" s="6">
        <v>46009.625</v>
      </c>
      <c r="E39" s="7">
        <v>197</v>
      </c>
      <c r="F39" s="5" t="s">
        <v>139</v>
      </c>
      <c r="G39" s="8" t="s">
        <v>22</v>
      </c>
      <c r="H39" s="8" t="s">
        <v>22</v>
      </c>
      <c r="I39" s="8" t="s">
        <v>22</v>
      </c>
      <c r="J39" s="8" t="s">
        <v>23</v>
      </c>
      <c r="K39" s="8" t="s">
        <v>23</v>
      </c>
      <c r="L39" s="8" t="s">
        <v>21</v>
      </c>
      <c r="M39" s="10" t="s">
        <v>29</v>
      </c>
      <c r="N39" s="5" t="s">
        <v>140</v>
      </c>
      <c r="O39" s="5" t="s">
        <v>141</v>
      </c>
    </row>
    <row r="40" ht="30" customHeight="1" spans="1:15" x14ac:dyDescent="0.25">
      <c r="A40" s="4" t="s">
        <v>142</v>
      </c>
      <c r="B40" s="5" t="s">
        <v>114</v>
      </c>
      <c r="C40" s="5" t="s">
        <v>115</v>
      </c>
      <c r="D40" s="6">
        <v>46083.625</v>
      </c>
      <c r="E40" s="7">
        <v>1</v>
      </c>
      <c r="F40" s="5" t="s">
        <v>143</v>
      </c>
      <c r="G40" s="8" t="s">
        <v>21</v>
      </c>
      <c r="H40" s="8" t="s">
        <v>23</v>
      </c>
      <c r="I40" s="8" t="s">
        <v>21</v>
      </c>
      <c r="J40" s="8" t="s">
        <v>23</v>
      </c>
      <c r="K40" s="8" t="s">
        <v>21</v>
      </c>
      <c r="L40" s="8" t="s">
        <v>21</v>
      </c>
      <c r="M40" s="12" t="s">
        <v>110</v>
      </c>
      <c r="N40" s="5" t="s">
        <v>40</v>
      </c>
      <c r="O40" s="5" t="s">
        <v>144</v>
      </c>
    </row>
    <row r="41" ht="30" customHeight="1" spans="1:15" x14ac:dyDescent="0.25">
      <c r="A41" s="4" t="s">
        <v>145</v>
      </c>
      <c r="B41" s="5" t="s">
        <v>114</v>
      </c>
      <c r="C41" s="5" t="s">
        <v>115</v>
      </c>
      <c r="D41" s="6">
        <v>46114.625</v>
      </c>
      <c r="E41" s="7">
        <v>3362</v>
      </c>
      <c r="F41" s="5" t="s">
        <v>146</v>
      </c>
      <c r="G41" s="8" t="s">
        <v>21</v>
      </c>
      <c r="H41" s="8" t="s">
        <v>23</v>
      </c>
      <c r="I41" s="8" t="s">
        <v>22</v>
      </c>
      <c r="J41" s="8" t="s">
        <v>23</v>
      </c>
      <c r="K41" s="8" t="s">
        <v>21</v>
      </c>
      <c r="L41" s="8" t="s">
        <v>21</v>
      </c>
      <c r="M41" s="12" t="s">
        <v>110</v>
      </c>
      <c r="N41" s="5" t="s">
        <v>40</v>
      </c>
      <c r="O41" s="5" t="s">
        <v>147</v>
      </c>
    </row>
    <row r="42" ht="30" customHeight="1" spans="1:15" x14ac:dyDescent="0.25">
      <c r="A42" s="4" t="s">
        <v>148</v>
      </c>
      <c r="B42" s="5" t="s">
        <v>114</v>
      </c>
      <c r="C42" s="5" t="s">
        <v>115</v>
      </c>
      <c r="D42" s="6">
        <v>46187.625</v>
      </c>
      <c r="E42" s="7">
        <v>300</v>
      </c>
      <c r="F42" s="5" t="s">
        <v>149</v>
      </c>
      <c r="G42" s="8" t="s">
        <v>21</v>
      </c>
      <c r="H42" s="8" t="s">
        <v>21</v>
      </c>
      <c r="I42" s="8" t="s">
        <v>21</v>
      </c>
      <c r="J42" s="8" t="s">
        <v>23</v>
      </c>
      <c r="K42" s="8" t="s">
        <v>21</v>
      </c>
      <c r="L42" s="8" t="s">
        <v>21</v>
      </c>
      <c r="M42" s="9" t="s">
        <v>24</v>
      </c>
      <c r="N42" s="5" t="s">
        <v>40</v>
      </c>
      <c r="O42" s="5" t="s">
        <v>150</v>
      </c>
    </row>
    <row r="43" ht="30" customHeight="1" spans="1:15" x14ac:dyDescent="0.25">
      <c r="A43" s="4" t="s">
        <v>151</v>
      </c>
      <c r="B43" s="5" t="s">
        <v>114</v>
      </c>
      <c r="C43" s="5" t="s">
        <v>115</v>
      </c>
      <c r="D43" s="6">
        <v>46187.625</v>
      </c>
      <c r="E43" s="7">
        <v>127</v>
      </c>
      <c r="F43" s="5" t="s">
        <v>149</v>
      </c>
      <c r="G43" s="8" t="s">
        <v>21</v>
      </c>
      <c r="H43" s="8" t="s">
        <v>21</v>
      </c>
      <c r="I43" s="8" t="s">
        <v>21</v>
      </c>
      <c r="J43" s="8" t="s">
        <v>23</v>
      </c>
      <c r="K43" s="8" t="s">
        <v>21</v>
      </c>
      <c r="L43" s="8" t="s">
        <v>21</v>
      </c>
      <c r="M43" s="9" t="s">
        <v>24</v>
      </c>
      <c r="N43" s="5" t="s">
        <v>40</v>
      </c>
      <c r="O43" s="5" t="s">
        <v>152</v>
      </c>
    </row>
    <row r="44" ht="33" customHeight="1" spans="1:15" x14ac:dyDescent="0.25">
      <c r="A44" s="4" t="s">
        <v>153</v>
      </c>
      <c r="B44" s="5" t="s">
        <v>114</v>
      </c>
      <c r="C44" s="5" t="s">
        <v>115</v>
      </c>
      <c r="D44" s="6">
        <v>46237.625</v>
      </c>
      <c r="E44" s="7">
        <v>1</v>
      </c>
      <c r="F44" s="5" t="s">
        <v>154</v>
      </c>
      <c r="G44" s="8" t="s">
        <v>21</v>
      </c>
      <c r="H44" s="8" t="s">
        <v>23</v>
      </c>
      <c r="I44" s="8" t="s">
        <v>21</v>
      </c>
      <c r="J44" s="8" t="s">
        <v>23</v>
      </c>
      <c r="K44" s="8" t="s">
        <v>21</v>
      </c>
      <c r="L44" s="8" t="s">
        <v>21</v>
      </c>
      <c r="M44" s="12" t="s">
        <v>110</v>
      </c>
      <c r="N44" s="5" t="s">
        <v>40</v>
      </c>
      <c r="O44" s="5" t="s">
        <v>155</v>
      </c>
    </row>
    <row r="45" ht="46.5" customHeight="1" spans="1:15" x14ac:dyDescent="0.25">
      <c r="A45" s="4" t="s">
        <v>156</v>
      </c>
      <c r="B45" s="5" t="s">
        <v>114</v>
      </c>
      <c r="C45" s="5" t="s">
        <v>157</v>
      </c>
      <c r="D45" s="6">
        <v>45786.625</v>
      </c>
      <c r="E45" s="7">
        <v>221.4</v>
      </c>
      <c r="F45" s="5" t="s">
        <v>158</v>
      </c>
      <c r="G45" s="8" t="s">
        <v>21</v>
      </c>
      <c r="H45" s="8" t="s">
        <v>21</v>
      </c>
      <c r="I45" s="8" t="s">
        <v>22</v>
      </c>
      <c r="J45" s="8" t="s">
        <v>23</v>
      </c>
      <c r="K45" s="8" t="s">
        <v>22</v>
      </c>
      <c r="L45" s="8" t="s">
        <v>22</v>
      </c>
      <c r="M45" s="12" t="s">
        <v>110</v>
      </c>
      <c r="N45" s="5" t="s">
        <v>40</v>
      </c>
      <c r="O45" s="5" t="s">
        <v>159</v>
      </c>
    </row>
    <row r="46" ht="60" customHeight="1" spans="1:15" x14ac:dyDescent="0.25">
      <c r="A46" s="4" t="s">
        <v>160</v>
      </c>
      <c r="B46" s="5" t="s">
        <v>114</v>
      </c>
      <c r="C46" s="5" t="s">
        <v>161</v>
      </c>
      <c r="D46" s="6">
        <v>45618.625</v>
      </c>
      <c r="E46" s="7">
        <v>239.84</v>
      </c>
      <c r="F46" s="5" t="s">
        <v>162</v>
      </c>
      <c r="G46" s="8" t="s">
        <v>34</v>
      </c>
      <c r="H46" s="8" t="s">
        <v>22</v>
      </c>
      <c r="I46" s="8" t="s">
        <v>22</v>
      </c>
      <c r="J46" s="8" t="s">
        <v>23</v>
      </c>
      <c r="K46" s="8" t="s">
        <v>22</v>
      </c>
      <c r="L46" s="8" t="s">
        <v>22</v>
      </c>
      <c r="M46" s="13" t="s">
        <v>129</v>
      </c>
      <c r="N46" s="5" t="s">
        <v>163</v>
      </c>
      <c r="O46" s="5" t="s">
        <v>164</v>
      </c>
    </row>
    <row r="47" ht="33" customHeight="1" spans="1:15" x14ac:dyDescent="0.25">
      <c r="A47" s="4" t="s">
        <v>165</v>
      </c>
      <c r="B47" s="5" t="s">
        <v>114</v>
      </c>
      <c r="C47" s="5" t="s">
        <v>161</v>
      </c>
      <c r="D47" s="6">
        <v>45639.625</v>
      </c>
      <c r="E47" s="7">
        <v>3475.63</v>
      </c>
      <c r="F47" s="5" t="s">
        <v>162</v>
      </c>
      <c r="G47" s="8" t="s">
        <v>22</v>
      </c>
      <c r="H47" s="8" t="s">
        <v>22</v>
      </c>
      <c r="I47" s="8" t="s">
        <v>22</v>
      </c>
      <c r="J47" s="8" t="s">
        <v>23</v>
      </c>
      <c r="K47" s="8" t="s">
        <v>23</v>
      </c>
      <c r="L47" s="8" t="s">
        <v>21</v>
      </c>
      <c r="M47" s="10" t="s">
        <v>29</v>
      </c>
      <c r="N47" s="5" t="s">
        <v>166</v>
      </c>
      <c r="O47" s="5" t="s">
        <v>167</v>
      </c>
    </row>
    <row r="48" ht="33" customHeight="1" spans="1:15" x14ac:dyDescent="0.25">
      <c r="A48" s="4" t="s">
        <v>168</v>
      </c>
      <c r="B48" s="5" t="s">
        <v>114</v>
      </c>
      <c r="C48" s="5" t="s">
        <v>161</v>
      </c>
      <c r="D48" s="6">
        <v>45664.625</v>
      </c>
      <c r="E48" s="7">
        <v>3475.63</v>
      </c>
      <c r="F48" s="5" t="s">
        <v>162</v>
      </c>
      <c r="G48" s="8" t="s">
        <v>21</v>
      </c>
      <c r="H48" s="8" t="s">
        <v>21</v>
      </c>
      <c r="I48" s="8" t="s">
        <v>22</v>
      </c>
      <c r="J48" s="8" t="s">
        <v>23</v>
      </c>
      <c r="K48" s="8" t="s">
        <v>21</v>
      </c>
      <c r="L48" s="8" t="s">
        <v>21</v>
      </c>
      <c r="M48" s="9" t="s">
        <v>24</v>
      </c>
      <c r="N48" s="5" t="s">
        <v>40</v>
      </c>
      <c r="O48" s="5" t="s">
        <v>169</v>
      </c>
    </row>
    <row r="49" ht="33" customHeight="1" spans="1:15" x14ac:dyDescent="0.25">
      <c r="A49" s="4" t="s">
        <v>170</v>
      </c>
      <c r="B49" s="5" t="s">
        <v>114</v>
      </c>
      <c r="C49" s="5" t="s">
        <v>161</v>
      </c>
      <c r="D49" s="6">
        <v>45688.625</v>
      </c>
      <c r="E49" s="7">
        <v>1000</v>
      </c>
      <c r="F49" s="5" t="s">
        <v>171</v>
      </c>
      <c r="G49" s="8" t="s">
        <v>34</v>
      </c>
      <c r="H49" s="8" t="s">
        <v>21</v>
      </c>
      <c r="I49" s="8" t="s">
        <v>22</v>
      </c>
      <c r="J49" s="8" t="s">
        <v>23</v>
      </c>
      <c r="K49" s="8" t="s">
        <v>21</v>
      </c>
      <c r="L49" s="8" t="s">
        <v>21</v>
      </c>
      <c r="M49" s="11" t="s">
        <v>35</v>
      </c>
      <c r="N49" s="5" t="s">
        <v>172</v>
      </c>
      <c r="O49" s="5" t="s">
        <v>173</v>
      </c>
    </row>
    <row r="50" ht="30" customHeight="1" spans="1:15" x14ac:dyDescent="0.25">
      <c r="A50" s="4" t="s">
        <v>174</v>
      </c>
      <c r="B50" s="5" t="s">
        <v>114</v>
      </c>
      <c r="C50" s="5" t="s">
        <v>161</v>
      </c>
      <c r="D50" s="6">
        <v>45695.625</v>
      </c>
      <c r="E50" s="7">
        <v>3475.63</v>
      </c>
      <c r="F50" s="5" t="s">
        <v>162</v>
      </c>
      <c r="G50" s="8" t="s">
        <v>21</v>
      </c>
      <c r="H50" s="8" t="s">
        <v>21</v>
      </c>
      <c r="I50" s="8" t="s">
        <v>22</v>
      </c>
      <c r="J50" s="8" t="s">
        <v>23</v>
      </c>
      <c r="K50" s="8" t="s">
        <v>21</v>
      </c>
      <c r="L50" s="8" t="s">
        <v>21</v>
      </c>
      <c r="M50" s="9" t="s">
        <v>24</v>
      </c>
      <c r="N50" s="5" t="s">
        <v>40</v>
      </c>
      <c r="O50" s="5" t="s">
        <v>175</v>
      </c>
    </row>
    <row r="51" ht="30" customHeight="1" spans="1:15" x14ac:dyDescent="0.25">
      <c r="A51" s="4" t="s">
        <v>176</v>
      </c>
      <c r="B51" s="5" t="s">
        <v>114</v>
      </c>
      <c r="C51" s="5" t="s">
        <v>161</v>
      </c>
      <c r="D51" s="6">
        <v>45722.625</v>
      </c>
      <c r="E51" s="7">
        <v>3825.4</v>
      </c>
      <c r="F51" s="5" t="s">
        <v>162</v>
      </c>
      <c r="G51" s="8" t="s">
        <v>21</v>
      </c>
      <c r="H51" s="8" t="s">
        <v>21</v>
      </c>
      <c r="I51" s="8" t="s">
        <v>22</v>
      </c>
      <c r="J51" s="8" t="s">
        <v>23</v>
      </c>
      <c r="K51" s="8" t="s">
        <v>21</v>
      </c>
      <c r="L51" s="8" t="s">
        <v>21</v>
      </c>
      <c r="M51" s="9" t="s">
        <v>24</v>
      </c>
      <c r="N51" s="5" t="s">
        <v>40</v>
      </c>
      <c r="O51" s="5" t="s">
        <v>177</v>
      </c>
    </row>
    <row r="52" ht="33" customHeight="1" spans="1:15" x14ac:dyDescent="0.25">
      <c r="A52" s="4" t="s">
        <v>178</v>
      </c>
      <c r="B52" s="5" t="s">
        <v>114</v>
      </c>
      <c r="C52" s="5" t="s">
        <v>161</v>
      </c>
      <c r="D52" s="6">
        <v>45726.625</v>
      </c>
      <c r="E52" s="7">
        <v>99.89</v>
      </c>
      <c r="F52" s="5" t="s">
        <v>179</v>
      </c>
      <c r="G52" s="8" t="s">
        <v>34</v>
      </c>
      <c r="H52" s="8" t="s">
        <v>23</v>
      </c>
      <c r="I52" s="8" t="s">
        <v>34</v>
      </c>
      <c r="J52" s="8" t="s">
        <v>23</v>
      </c>
      <c r="K52" s="8" t="s">
        <v>21</v>
      </c>
      <c r="L52" s="8" t="s">
        <v>21</v>
      </c>
      <c r="M52" s="12" t="s">
        <v>110</v>
      </c>
      <c r="N52" s="5" t="s">
        <v>180</v>
      </c>
      <c r="O52" s="5" t="s">
        <v>181</v>
      </c>
    </row>
    <row r="53" ht="30" customHeight="1" spans="1:15" x14ac:dyDescent="0.25">
      <c r="A53" s="4" t="s">
        <v>182</v>
      </c>
      <c r="B53" s="5" t="s">
        <v>114</v>
      </c>
      <c r="C53" s="5" t="s">
        <v>161</v>
      </c>
      <c r="D53" s="6">
        <v>45754.625</v>
      </c>
      <c r="E53" s="7">
        <v>3825.4</v>
      </c>
      <c r="F53" s="5" t="s">
        <v>162</v>
      </c>
      <c r="G53" s="8" t="s">
        <v>21</v>
      </c>
      <c r="H53" s="8" t="s">
        <v>21</v>
      </c>
      <c r="I53" s="8" t="s">
        <v>22</v>
      </c>
      <c r="J53" s="8" t="s">
        <v>23</v>
      </c>
      <c r="K53" s="8" t="s">
        <v>21</v>
      </c>
      <c r="L53" s="8" t="s">
        <v>21</v>
      </c>
      <c r="M53" s="9" t="s">
        <v>24</v>
      </c>
      <c r="N53" s="5" t="s">
        <v>40</v>
      </c>
      <c r="O53" s="5" t="s">
        <v>183</v>
      </c>
    </row>
    <row r="54" ht="30" customHeight="1" spans="1:15" x14ac:dyDescent="0.25">
      <c r="A54" s="4" t="s">
        <v>184</v>
      </c>
      <c r="B54" s="5" t="s">
        <v>114</v>
      </c>
      <c r="C54" s="5" t="s">
        <v>161</v>
      </c>
      <c r="D54" s="6">
        <v>45782.625</v>
      </c>
      <c r="E54" s="7">
        <v>3825.4</v>
      </c>
      <c r="F54" s="5" t="s">
        <v>162</v>
      </c>
      <c r="G54" s="8" t="s">
        <v>21</v>
      </c>
      <c r="H54" s="8" t="s">
        <v>21</v>
      </c>
      <c r="I54" s="8" t="s">
        <v>22</v>
      </c>
      <c r="J54" s="8" t="s">
        <v>23</v>
      </c>
      <c r="K54" s="8" t="s">
        <v>21</v>
      </c>
      <c r="L54" s="8" t="s">
        <v>21</v>
      </c>
      <c r="M54" s="9" t="s">
        <v>24</v>
      </c>
      <c r="N54" s="5" t="s">
        <v>40</v>
      </c>
      <c r="O54" s="5" t="s">
        <v>185</v>
      </c>
    </row>
    <row r="55" ht="46.5" customHeight="1" spans="1:15" x14ac:dyDescent="0.25">
      <c r="A55" s="4" t="s">
        <v>186</v>
      </c>
      <c r="B55" s="5" t="s">
        <v>114</v>
      </c>
      <c r="C55" s="5" t="s">
        <v>161</v>
      </c>
      <c r="D55" s="6">
        <v>45784.625</v>
      </c>
      <c r="E55" s="7">
        <v>720.05</v>
      </c>
      <c r="F55" s="5" t="s">
        <v>187</v>
      </c>
      <c r="G55" s="8" t="s">
        <v>22</v>
      </c>
      <c r="H55" s="8" t="s">
        <v>23</v>
      </c>
      <c r="I55" s="8" t="s">
        <v>22</v>
      </c>
      <c r="J55" s="8" t="s">
        <v>23</v>
      </c>
      <c r="K55" s="8" t="s">
        <v>21</v>
      </c>
      <c r="L55" s="8" t="s">
        <v>21</v>
      </c>
      <c r="M55" s="13" t="s">
        <v>129</v>
      </c>
      <c r="N55" s="5" t="s">
        <v>188</v>
      </c>
      <c r="O55" s="5" t="s">
        <v>189</v>
      </c>
    </row>
    <row r="56" ht="30" customHeight="1" spans="1:15" x14ac:dyDescent="0.25">
      <c r="A56" s="4" t="s">
        <v>190</v>
      </c>
      <c r="B56" s="5" t="s">
        <v>114</v>
      </c>
      <c r="C56" s="5" t="s">
        <v>161</v>
      </c>
      <c r="D56" s="6">
        <v>45813.625</v>
      </c>
      <c r="E56" s="7">
        <v>3825.4</v>
      </c>
      <c r="F56" s="5" t="s">
        <v>162</v>
      </c>
      <c r="G56" s="8" t="s">
        <v>21</v>
      </c>
      <c r="H56" s="8" t="s">
        <v>21</v>
      </c>
      <c r="I56" s="8" t="s">
        <v>22</v>
      </c>
      <c r="J56" s="8" t="s">
        <v>23</v>
      </c>
      <c r="K56" s="8" t="s">
        <v>21</v>
      </c>
      <c r="L56" s="8" t="s">
        <v>21</v>
      </c>
      <c r="M56" s="9" t="s">
        <v>24</v>
      </c>
      <c r="N56" s="5" t="s">
        <v>40</v>
      </c>
      <c r="O56" s="5" t="s">
        <v>191</v>
      </c>
    </row>
    <row r="57" ht="30" customHeight="1" spans="1:15" x14ac:dyDescent="0.25">
      <c r="A57" s="4" t="s">
        <v>192</v>
      </c>
      <c r="B57" s="5" t="s">
        <v>114</v>
      </c>
      <c r="C57" s="5" t="s">
        <v>161</v>
      </c>
      <c r="D57" s="6">
        <v>45901.625</v>
      </c>
      <c r="E57" s="7">
        <v>812.06</v>
      </c>
      <c r="F57" s="5" t="s">
        <v>162</v>
      </c>
      <c r="G57" s="8" t="s">
        <v>21</v>
      </c>
      <c r="H57" s="8" t="s">
        <v>21</v>
      </c>
      <c r="I57" s="8" t="s">
        <v>22</v>
      </c>
      <c r="J57" s="8" t="s">
        <v>23</v>
      </c>
      <c r="K57" s="8" t="s">
        <v>21</v>
      </c>
      <c r="L57" s="8" t="s">
        <v>21</v>
      </c>
      <c r="M57" s="9" t="s">
        <v>24</v>
      </c>
      <c r="N57" s="5" t="s">
        <v>40</v>
      </c>
      <c r="O57" s="5" t="s">
        <v>193</v>
      </c>
    </row>
    <row r="58" ht="30" customHeight="1" spans="1:15" x14ac:dyDescent="0.25">
      <c r="A58" s="4" t="s">
        <v>194</v>
      </c>
      <c r="B58" s="5" t="s">
        <v>114</v>
      </c>
      <c r="C58" s="5" t="s">
        <v>161</v>
      </c>
      <c r="D58" s="6">
        <v>46174.625</v>
      </c>
      <c r="E58" s="7">
        <v>1000</v>
      </c>
      <c r="F58" s="5" t="s">
        <v>162</v>
      </c>
      <c r="G58" s="8" t="s">
        <v>21</v>
      </c>
      <c r="H58" s="8" t="s">
        <v>21</v>
      </c>
      <c r="I58" s="8" t="s">
        <v>22</v>
      </c>
      <c r="J58" s="8" t="s">
        <v>23</v>
      </c>
      <c r="K58" s="8" t="s">
        <v>21</v>
      </c>
      <c r="L58" s="8" t="s">
        <v>21</v>
      </c>
      <c r="M58" s="9" t="s">
        <v>24</v>
      </c>
      <c r="N58" s="5" t="s">
        <v>40</v>
      </c>
      <c r="O58" s="5" t="s">
        <v>195</v>
      </c>
    </row>
    <row r="59" ht="46.5" customHeight="1" spans="1:15" x14ac:dyDescent="0.25">
      <c r="A59" s="4" t="s">
        <v>196</v>
      </c>
      <c r="B59" s="5" t="s">
        <v>114</v>
      </c>
      <c r="C59" s="5" t="s">
        <v>161</v>
      </c>
      <c r="D59" s="6">
        <v>46209.625</v>
      </c>
      <c r="E59" s="7">
        <v>2000</v>
      </c>
      <c r="F59" s="5" t="s">
        <v>197</v>
      </c>
      <c r="G59" s="8" t="s">
        <v>22</v>
      </c>
      <c r="H59" s="8" t="s">
        <v>22</v>
      </c>
      <c r="I59" s="8" t="s">
        <v>22</v>
      </c>
      <c r="J59" s="8" t="s">
        <v>23</v>
      </c>
      <c r="K59" s="8" t="s">
        <v>23</v>
      </c>
      <c r="L59" s="8" t="s">
        <v>21</v>
      </c>
      <c r="M59" s="10" t="s">
        <v>29</v>
      </c>
      <c r="N59" s="5" t="s">
        <v>198</v>
      </c>
      <c r="O59" s="5" t="s">
        <v>199</v>
      </c>
    </row>
    <row r="60" ht="33" customHeight="1" spans="1:15" x14ac:dyDescent="0.25">
      <c r="A60" s="4" t="s">
        <v>200</v>
      </c>
      <c r="B60" s="5" t="s">
        <v>114</v>
      </c>
      <c r="C60" s="5" t="s">
        <v>161</v>
      </c>
      <c r="D60" s="6">
        <v>46261.625</v>
      </c>
      <c r="E60" s="7">
        <v>1090</v>
      </c>
      <c r="F60" s="5" t="s">
        <v>201</v>
      </c>
      <c r="G60" s="8" t="s">
        <v>22</v>
      </c>
      <c r="H60" s="8" t="s">
        <v>22</v>
      </c>
      <c r="I60" s="8" t="s">
        <v>22</v>
      </c>
      <c r="J60" s="8" t="s">
        <v>23</v>
      </c>
      <c r="K60" s="8" t="s">
        <v>23</v>
      </c>
      <c r="L60" s="8" t="s">
        <v>21</v>
      </c>
      <c r="M60" s="10" t="s">
        <v>29</v>
      </c>
      <c r="N60" s="5" t="s">
        <v>202</v>
      </c>
      <c r="O60" s="5" t="s">
        <v>203</v>
      </c>
    </row>
    <row r="61" ht="33" customHeight="1" spans="1:15" x14ac:dyDescent="0.25">
      <c r="A61" s="4" t="s">
        <v>204</v>
      </c>
      <c r="B61" s="5" t="s">
        <v>114</v>
      </c>
      <c r="C61" s="5" t="s">
        <v>161</v>
      </c>
      <c r="D61" s="6">
        <v>46262.625</v>
      </c>
      <c r="E61" s="7">
        <v>1200</v>
      </c>
      <c r="F61" s="5" t="s">
        <v>162</v>
      </c>
      <c r="G61" s="8" t="s">
        <v>34</v>
      </c>
      <c r="H61" s="8" t="s">
        <v>34</v>
      </c>
      <c r="I61" s="8" t="s">
        <v>34</v>
      </c>
      <c r="J61" s="8" t="s">
        <v>23</v>
      </c>
      <c r="K61" s="8" t="s">
        <v>21</v>
      </c>
      <c r="L61" s="8" t="s">
        <v>21</v>
      </c>
      <c r="M61" s="11" t="s">
        <v>35</v>
      </c>
      <c r="N61" s="5" t="s">
        <v>205</v>
      </c>
      <c r="O61" s="5" t="s">
        <v>206</v>
      </c>
    </row>
    <row r="62" ht="33" customHeight="1" spans="1:15" x14ac:dyDescent="0.25">
      <c r="A62" s="4" t="s">
        <v>207</v>
      </c>
      <c r="B62" s="5" t="s">
        <v>114</v>
      </c>
      <c r="C62" s="5" t="s">
        <v>161</v>
      </c>
      <c r="D62" s="6">
        <v>46262.625</v>
      </c>
      <c r="E62" s="7">
        <v>600</v>
      </c>
      <c r="F62" s="5" t="s">
        <v>201</v>
      </c>
      <c r="G62" s="8" t="s">
        <v>22</v>
      </c>
      <c r="H62" s="8" t="s">
        <v>22</v>
      </c>
      <c r="I62" s="8" t="s">
        <v>22</v>
      </c>
      <c r="J62" s="8" t="s">
        <v>23</v>
      </c>
      <c r="K62" s="8" t="s">
        <v>23</v>
      </c>
      <c r="L62" s="8" t="s">
        <v>21</v>
      </c>
      <c r="M62" s="10" t="s">
        <v>29</v>
      </c>
      <c r="N62" s="5" t="s">
        <v>208</v>
      </c>
      <c r="O62" s="5" t="s">
        <v>209</v>
      </c>
    </row>
    <row r="63" ht="60" customHeight="1" spans="1:15" x14ac:dyDescent="0.25">
      <c r="A63" s="4" t="s">
        <v>210</v>
      </c>
      <c r="B63" s="5" t="s">
        <v>211</v>
      </c>
      <c r="C63" s="5" t="s">
        <v>212</v>
      </c>
      <c r="D63" s="6">
        <v>46265.625</v>
      </c>
      <c r="E63" s="7">
        <v>4577.76</v>
      </c>
      <c r="F63" s="5" t="s">
        <v>213</v>
      </c>
      <c r="G63" s="8" t="s">
        <v>34</v>
      </c>
      <c r="H63" s="8" t="s">
        <v>23</v>
      </c>
      <c r="I63" s="8" t="s">
        <v>22</v>
      </c>
      <c r="J63" s="8" t="s">
        <v>21</v>
      </c>
      <c r="K63" s="8" t="s">
        <v>21</v>
      </c>
      <c r="L63" s="8" t="s">
        <v>21</v>
      </c>
      <c r="M63" s="11" t="s">
        <v>35</v>
      </c>
      <c r="N63" s="5" t="s">
        <v>214</v>
      </c>
      <c r="O63" s="5" t="s">
        <v>215</v>
      </c>
    </row>
    <row r="64" ht="60" customHeight="1" spans="1:15" x14ac:dyDescent="0.25">
      <c r="A64" s="4" t="s">
        <v>216</v>
      </c>
      <c r="B64" s="5" t="s">
        <v>217</v>
      </c>
      <c r="C64" s="5" t="s">
        <v>218</v>
      </c>
      <c r="D64" s="6"/>
      <c r="E64" s="7">
        <v>5635.38</v>
      </c>
      <c r="F64" s="5" t="s">
        <v>219</v>
      </c>
      <c r="G64" s="8" t="s">
        <v>34</v>
      </c>
      <c r="H64" s="8" t="s">
        <v>22</v>
      </c>
      <c r="I64" s="8" t="s">
        <v>22</v>
      </c>
      <c r="J64" s="8" t="s">
        <v>23</v>
      </c>
      <c r="K64" s="8" t="s">
        <v>21</v>
      </c>
      <c r="L64" s="8" t="s">
        <v>21</v>
      </c>
      <c r="M64" s="11" t="s">
        <v>35</v>
      </c>
      <c r="N64" s="5" t="s">
        <v>220</v>
      </c>
      <c r="O64" s="5" t="s">
        <v>221</v>
      </c>
    </row>
    <row r="65" ht="33" customHeight="1" spans="1:15" x14ac:dyDescent="0.25">
      <c r="A65" s="4" t="s">
        <v>222</v>
      </c>
      <c r="B65" s="5" t="s">
        <v>217</v>
      </c>
      <c r="C65" s="5" t="s">
        <v>218</v>
      </c>
      <c r="D65" s="6"/>
      <c r="E65" s="7">
        <v>4241.38</v>
      </c>
      <c r="F65" s="5" t="s">
        <v>223</v>
      </c>
      <c r="G65" s="8" t="s">
        <v>34</v>
      </c>
      <c r="H65" s="8" t="s">
        <v>34</v>
      </c>
      <c r="I65" s="8" t="s">
        <v>22</v>
      </c>
      <c r="J65" s="8" t="s">
        <v>23</v>
      </c>
      <c r="K65" s="8" t="s">
        <v>21</v>
      </c>
      <c r="L65" s="8" t="s">
        <v>21</v>
      </c>
      <c r="M65" s="11" t="s">
        <v>35</v>
      </c>
      <c r="N65" s="5" t="s">
        <v>224</v>
      </c>
      <c r="O65" s="5" t="s">
        <v>225</v>
      </c>
    </row>
    <row r="66" ht="30" customHeight="1" spans="1:15" x14ac:dyDescent="0.25">
      <c r="A66" s="4" t="s">
        <v>226</v>
      </c>
      <c r="B66" s="5" t="s">
        <v>217</v>
      </c>
      <c r="C66" s="5" t="s">
        <v>218</v>
      </c>
      <c r="D66" s="6"/>
      <c r="E66" s="7">
        <v>400</v>
      </c>
      <c r="F66" s="5" t="s">
        <v>227</v>
      </c>
      <c r="G66" s="8" t="s">
        <v>21</v>
      </c>
      <c r="H66" s="8" t="s">
        <v>21</v>
      </c>
      <c r="I66" s="8" t="s">
        <v>21</v>
      </c>
      <c r="J66" s="8" t="s">
        <v>23</v>
      </c>
      <c r="K66" s="8" t="s">
        <v>21</v>
      </c>
      <c r="L66" s="8" t="s">
        <v>21</v>
      </c>
      <c r="M66" s="9" t="s">
        <v>24</v>
      </c>
      <c r="N66" s="5" t="s">
        <v>40</v>
      </c>
      <c r="O66" s="5" t="s">
        <v>228</v>
      </c>
    </row>
    <row r="67" ht="30" customHeight="1" spans="1:15" x14ac:dyDescent="0.25">
      <c r="A67" s="4" t="s">
        <v>229</v>
      </c>
      <c r="B67" s="5" t="s">
        <v>217</v>
      </c>
      <c r="C67" s="5" t="s">
        <v>218</v>
      </c>
      <c r="D67" s="6"/>
      <c r="E67" s="7">
        <v>400</v>
      </c>
      <c r="F67" s="5" t="s">
        <v>230</v>
      </c>
      <c r="G67" s="8" t="s">
        <v>21</v>
      </c>
      <c r="H67" s="8" t="s">
        <v>21</v>
      </c>
      <c r="I67" s="8" t="s">
        <v>21</v>
      </c>
      <c r="J67" s="8" t="s">
        <v>23</v>
      </c>
      <c r="K67" s="8" t="s">
        <v>21</v>
      </c>
      <c r="L67" s="8" t="s">
        <v>21</v>
      </c>
      <c r="M67" s="9" t="s">
        <v>24</v>
      </c>
      <c r="N67" s="5" t="s">
        <v>40</v>
      </c>
      <c r="O67" s="5" t="s">
        <v>231</v>
      </c>
    </row>
    <row r="68" ht="33" customHeight="1" spans="1:15" x14ac:dyDescent="0.25">
      <c r="A68" s="4" t="s">
        <v>232</v>
      </c>
      <c r="B68" s="5" t="s">
        <v>217</v>
      </c>
      <c r="C68" s="5" t="s">
        <v>218</v>
      </c>
      <c r="D68" s="6"/>
      <c r="E68" s="7">
        <v>754.56</v>
      </c>
      <c r="F68" s="5" t="s">
        <v>233</v>
      </c>
      <c r="G68" s="8" t="s">
        <v>22</v>
      </c>
      <c r="H68" s="8" t="s">
        <v>22</v>
      </c>
      <c r="I68" s="8" t="s">
        <v>22</v>
      </c>
      <c r="J68" s="8" t="s">
        <v>23</v>
      </c>
      <c r="K68" s="8" t="s">
        <v>23</v>
      </c>
      <c r="L68" s="8" t="s">
        <v>21</v>
      </c>
      <c r="M68" s="10" t="s">
        <v>29</v>
      </c>
      <c r="N68" s="5" t="s">
        <v>234</v>
      </c>
      <c r="O68" s="5" t="s">
        <v>235</v>
      </c>
    </row>
    <row r="69" ht="33" customHeight="1" spans="1:15" x14ac:dyDescent="0.25">
      <c r="A69" s="4" t="s">
        <v>236</v>
      </c>
      <c r="B69" s="5" t="s">
        <v>217</v>
      </c>
      <c r="C69" s="5" t="s">
        <v>218</v>
      </c>
      <c r="D69" s="6"/>
      <c r="E69" s="7">
        <v>145.84</v>
      </c>
      <c r="F69" s="5" t="s">
        <v>237</v>
      </c>
      <c r="G69" s="8" t="s">
        <v>22</v>
      </c>
      <c r="H69" s="8" t="s">
        <v>22</v>
      </c>
      <c r="I69" s="8" t="s">
        <v>22</v>
      </c>
      <c r="J69" s="8" t="s">
        <v>23</v>
      </c>
      <c r="K69" s="8" t="s">
        <v>23</v>
      </c>
      <c r="L69" s="8" t="s">
        <v>21</v>
      </c>
      <c r="M69" s="10" t="s">
        <v>29</v>
      </c>
      <c r="N69" s="5" t="s">
        <v>238</v>
      </c>
      <c r="O69" s="5" t="s">
        <v>239</v>
      </c>
    </row>
    <row r="70" ht="33" customHeight="1" spans="1:15" x14ac:dyDescent="0.25">
      <c r="A70" s="4" t="s">
        <v>240</v>
      </c>
      <c r="B70" s="5" t="s">
        <v>217</v>
      </c>
      <c r="C70" s="5" t="s">
        <v>218</v>
      </c>
      <c r="D70" s="6"/>
      <c r="E70" s="7">
        <v>519.98</v>
      </c>
      <c r="F70" s="5" t="s">
        <v>241</v>
      </c>
      <c r="G70" s="8" t="s">
        <v>34</v>
      </c>
      <c r="H70" s="8" t="s">
        <v>34</v>
      </c>
      <c r="I70" s="8" t="s">
        <v>22</v>
      </c>
      <c r="J70" s="8" t="s">
        <v>23</v>
      </c>
      <c r="K70" s="8" t="s">
        <v>21</v>
      </c>
      <c r="L70" s="8" t="s">
        <v>21</v>
      </c>
      <c r="M70" s="11" t="s">
        <v>35</v>
      </c>
      <c r="N70" s="5" t="s">
        <v>242</v>
      </c>
      <c r="O70" s="5" t="s">
        <v>243</v>
      </c>
    </row>
    <row r="71" ht="30" customHeight="1" spans="1:15" x14ac:dyDescent="0.25">
      <c r="A71" s="4" t="s">
        <v>244</v>
      </c>
      <c r="B71" s="5" t="s">
        <v>217</v>
      </c>
      <c r="C71" s="5" t="s">
        <v>218</v>
      </c>
      <c r="D71" s="6"/>
      <c r="E71" s="7">
        <v>44.4</v>
      </c>
      <c r="F71" s="5" t="s">
        <v>245</v>
      </c>
      <c r="G71" s="8" t="s">
        <v>21</v>
      </c>
      <c r="H71" s="8" t="s">
        <v>21</v>
      </c>
      <c r="I71" s="8" t="s">
        <v>21</v>
      </c>
      <c r="J71" s="8" t="s">
        <v>23</v>
      </c>
      <c r="K71" s="8" t="s">
        <v>21</v>
      </c>
      <c r="L71" s="8" t="s">
        <v>21</v>
      </c>
      <c r="M71" s="9" t="s">
        <v>24</v>
      </c>
      <c r="N71" s="5" t="s">
        <v>40</v>
      </c>
      <c r="O71" s="5" t="s">
        <v>246</v>
      </c>
    </row>
    <row r="72" ht="33" customHeight="1" spans="1:15" x14ac:dyDescent="0.25">
      <c r="A72" s="4" t="s">
        <v>247</v>
      </c>
      <c r="B72" s="5" t="s">
        <v>217</v>
      </c>
      <c r="C72" s="5" t="s">
        <v>218</v>
      </c>
      <c r="D72" s="6"/>
      <c r="E72" s="7">
        <v>110</v>
      </c>
      <c r="F72" s="5" t="s">
        <v>248</v>
      </c>
      <c r="G72" s="8" t="s">
        <v>22</v>
      </c>
      <c r="H72" s="8" t="s">
        <v>22</v>
      </c>
      <c r="I72" s="8" t="s">
        <v>22</v>
      </c>
      <c r="J72" s="8" t="s">
        <v>23</v>
      </c>
      <c r="K72" s="8" t="s">
        <v>23</v>
      </c>
      <c r="L72" s="8" t="s">
        <v>21</v>
      </c>
      <c r="M72" s="10" t="s">
        <v>29</v>
      </c>
      <c r="N72" s="5" t="s">
        <v>249</v>
      </c>
      <c r="O72" s="5" t="s">
        <v>239</v>
      </c>
    </row>
    <row r="73" ht="33" customHeight="1" spans="1:15" x14ac:dyDescent="0.25">
      <c r="A73" s="4" t="s">
        <v>250</v>
      </c>
      <c r="B73" s="5" t="s">
        <v>217</v>
      </c>
      <c r="C73" s="5" t="s">
        <v>218</v>
      </c>
      <c r="D73" s="6"/>
      <c r="E73" s="7">
        <v>519.8</v>
      </c>
      <c r="F73" s="5" t="s">
        <v>251</v>
      </c>
      <c r="G73" s="8" t="s">
        <v>22</v>
      </c>
      <c r="H73" s="8" t="s">
        <v>22</v>
      </c>
      <c r="I73" s="8" t="s">
        <v>22</v>
      </c>
      <c r="J73" s="8" t="s">
        <v>23</v>
      </c>
      <c r="K73" s="8" t="s">
        <v>23</v>
      </c>
      <c r="L73" s="8" t="s">
        <v>21</v>
      </c>
      <c r="M73" s="10" t="s">
        <v>29</v>
      </c>
      <c r="N73" s="5" t="s">
        <v>252</v>
      </c>
      <c r="O73" s="5" t="s">
        <v>253</v>
      </c>
    </row>
    <row r="74" ht="33" customHeight="1" spans="1:15" x14ac:dyDescent="0.25">
      <c r="A74" s="4" t="s">
        <v>254</v>
      </c>
      <c r="B74" s="5" t="s">
        <v>217</v>
      </c>
      <c r="C74" s="5" t="s">
        <v>218</v>
      </c>
      <c r="D74" s="6"/>
      <c r="E74" s="7">
        <v>1299</v>
      </c>
      <c r="F74" s="5" t="s">
        <v>255</v>
      </c>
      <c r="G74" s="8" t="s">
        <v>22</v>
      </c>
      <c r="H74" s="8" t="s">
        <v>22</v>
      </c>
      <c r="I74" s="8" t="s">
        <v>22</v>
      </c>
      <c r="J74" s="8" t="s">
        <v>23</v>
      </c>
      <c r="K74" s="8" t="s">
        <v>23</v>
      </c>
      <c r="L74" s="8" t="s">
        <v>21</v>
      </c>
      <c r="M74" s="10" t="s">
        <v>29</v>
      </c>
      <c r="N74" s="5" t="s">
        <v>256</v>
      </c>
      <c r="O74" s="5" t="s">
        <v>257</v>
      </c>
    </row>
    <row r="75" ht="33" customHeight="1" spans="1:15" x14ac:dyDescent="0.25">
      <c r="A75" s="4" t="s">
        <v>258</v>
      </c>
      <c r="B75" s="5" t="s">
        <v>217</v>
      </c>
      <c r="C75" s="5" t="s">
        <v>218</v>
      </c>
      <c r="D75" s="6"/>
      <c r="E75" s="7">
        <v>1899</v>
      </c>
      <c r="F75" s="5" t="s">
        <v>259</v>
      </c>
      <c r="G75" s="8" t="s">
        <v>22</v>
      </c>
      <c r="H75" s="8" t="s">
        <v>22</v>
      </c>
      <c r="I75" s="8" t="s">
        <v>22</v>
      </c>
      <c r="J75" s="8" t="s">
        <v>23</v>
      </c>
      <c r="K75" s="8" t="s">
        <v>23</v>
      </c>
      <c r="L75" s="8" t="s">
        <v>21</v>
      </c>
      <c r="M75" s="10" t="s">
        <v>29</v>
      </c>
      <c r="N75" s="5" t="s">
        <v>260</v>
      </c>
      <c r="O75" s="5" t="s">
        <v>257</v>
      </c>
    </row>
    <row r="76" ht="33" customHeight="1" spans="1:15" x14ac:dyDescent="0.25">
      <c r="A76" s="4" t="s">
        <v>261</v>
      </c>
      <c r="B76" s="5" t="s">
        <v>217</v>
      </c>
      <c r="C76" s="5" t="s">
        <v>218</v>
      </c>
      <c r="D76" s="6"/>
      <c r="E76" s="7">
        <v>369.67</v>
      </c>
      <c r="F76" s="5" t="s">
        <v>262</v>
      </c>
      <c r="G76" s="8" t="s">
        <v>22</v>
      </c>
      <c r="H76" s="8" t="s">
        <v>22</v>
      </c>
      <c r="I76" s="8" t="s">
        <v>22</v>
      </c>
      <c r="J76" s="8" t="s">
        <v>23</v>
      </c>
      <c r="K76" s="8" t="s">
        <v>23</v>
      </c>
      <c r="L76" s="8" t="s">
        <v>21</v>
      </c>
      <c r="M76" s="10" t="s">
        <v>29</v>
      </c>
      <c r="N76" s="5" t="s">
        <v>263</v>
      </c>
      <c r="O76" s="5" t="s">
        <v>264</v>
      </c>
    </row>
    <row r="77" ht="33" customHeight="1" spans="1:15" x14ac:dyDescent="0.25">
      <c r="A77" s="4" t="s">
        <v>265</v>
      </c>
      <c r="B77" s="5" t="s">
        <v>217</v>
      </c>
      <c r="C77" s="5" t="s">
        <v>218</v>
      </c>
      <c r="D77" s="6"/>
      <c r="E77" s="7">
        <v>659.65</v>
      </c>
      <c r="F77" s="5" t="s">
        <v>266</v>
      </c>
      <c r="G77" s="8" t="s">
        <v>22</v>
      </c>
      <c r="H77" s="8" t="s">
        <v>22</v>
      </c>
      <c r="I77" s="8" t="s">
        <v>22</v>
      </c>
      <c r="J77" s="8" t="s">
        <v>23</v>
      </c>
      <c r="K77" s="8" t="s">
        <v>23</v>
      </c>
      <c r="L77" s="8" t="s">
        <v>21</v>
      </c>
      <c r="M77" s="10" t="s">
        <v>29</v>
      </c>
      <c r="N77" s="5" t="s">
        <v>267</v>
      </c>
      <c r="O77" s="5" t="s">
        <v>257</v>
      </c>
    </row>
    <row r="78" ht="33" customHeight="1" spans="1:15" x14ac:dyDescent="0.25">
      <c r="A78" s="4" t="s">
        <v>268</v>
      </c>
      <c r="B78" s="5" t="s">
        <v>217</v>
      </c>
      <c r="C78" s="5" t="s">
        <v>218</v>
      </c>
      <c r="D78" s="6"/>
      <c r="E78" s="7">
        <v>843.72</v>
      </c>
      <c r="F78" s="5" t="s">
        <v>269</v>
      </c>
      <c r="G78" s="8" t="s">
        <v>22</v>
      </c>
      <c r="H78" s="8" t="s">
        <v>22</v>
      </c>
      <c r="I78" s="8" t="s">
        <v>22</v>
      </c>
      <c r="J78" s="8" t="s">
        <v>23</v>
      </c>
      <c r="K78" s="8" t="s">
        <v>23</v>
      </c>
      <c r="L78" s="8" t="s">
        <v>21</v>
      </c>
      <c r="M78" s="10" t="s">
        <v>29</v>
      </c>
      <c r="N78" s="5" t="s">
        <v>270</v>
      </c>
      <c r="O78" s="5" t="s">
        <v>257</v>
      </c>
    </row>
    <row r="79" ht="33" customHeight="1" spans="1:15" x14ac:dyDescent="0.25">
      <c r="A79" s="4" t="s">
        <v>271</v>
      </c>
      <c r="B79" s="5" t="s">
        <v>217</v>
      </c>
      <c r="C79" s="5" t="s">
        <v>218</v>
      </c>
      <c r="D79" s="6"/>
      <c r="E79" s="7">
        <v>101.85</v>
      </c>
      <c r="F79" s="5" t="s">
        <v>272</v>
      </c>
      <c r="G79" s="8" t="s">
        <v>22</v>
      </c>
      <c r="H79" s="8" t="s">
        <v>22</v>
      </c>
      <c r="I79" s="8" t="s">
        <v>22</v>
      </c>
      <c r="J79" s="8" t="s">
        <v>23</v>
      </c>
      <c r="K79" s="8" t="s">
        <v>23</v>
      </c>
      <c r="L79" s="8" t="s">
        <v>21</v>
      </c>
      <c r="M79" s="10" t="s">
        <v>29</v>
      </c>
      <c r="N79" s="5" t="s">
        <v>273</v>
      </c>
      <c r="O79" s="5" t="s">
        <v>239</v>
      </c>
    </row>
    <row r="80" ht="30" customHeight="1" spans="1:15" x14ac:dyDescent="0.25">
      <c r="A80" s="4" t="s">
        <v>274</v>
      </c>
      <c r="B80" s="5" t="s">
        <v>217</v>
      </c>
      <c r="C80" s="5" t="s">
        <v>218</v>
      </c>
      <c r="D80" s="6"/>
      <c r="E80" s="7">
        <v>1329</v>
      </c>
      <c r="F80" s="5" t="s">
        <v>275</v>
      </c>
      <c r="G80" s="8" t="s">
        <v>21</v>
      </c>
      <c r="H80" s="8" t="s">
        <v>21</v>
      </c>
      <c r="I80" s="8" t="s">
        <v>21</v>
      </c>
      <c r="J80" s="8" t="s">
        <v>23</v>
      </c>
      <c r="K80" s="8" t="s">
        <v>21</v>
      </c>
      <c r="L80" s="8" t="s">
        <v>21</v>
      </c>
      <c r="M80" s="9" t="s">
        <v>24</v>
      </c>
      <c r="N80" s="5" t="s">
        <v>40</v>
      </c>
      <c r="O80" s="5" t="s">
        <v>276</v>
      </c>
    </row>
    <row r="81" ht="30" customHeight="1" spans="1:15" x14ac:dyDescent="0.25">
      <c r="A81" s="4" t="s">
        <v>277</v>
      </c>
      <c r="B81" s="5" t="s">
        <v>217</v>
      </c>
      <c r="C81" s="5" t="s">
        <v>218</v>
      </c>
      <c r="D81" s="6"/>
      <c r="E81" s="7">
        <v>139.94</v>
      </c>
      <c r="F81" s="5" t="s">
        <v>278</v>
      </c>
      <c r="G81" s="8" t="s">
        <v>21</v>
      </c>
      <c r="H81" s="8" t="s">
        <v>21</v>
      </c>
      <c r="I81" s="8" t="s">
        <v>21</v>
      </c>
      <c r="J81" s="8" t="s">
        <v>23</v>
      </c>
      <c r="K81" s="8" t="s">
        <v>21</v>
      </c>
      <c r="L81" s="8" t="s">
        <v>21</v>
      </c>
      <c r="M81" s="9" t="s">
        <v>24</v>
      </c>
      <c r="N81" s="5" t="s">
        <v>40</v>
      </c>
      <c r="O81" s="5" t="s">
        <v>279</v>
      </c>
    </row>
    <row r="82" ht="46.5" customHeight="1" spans="1:15" x14ac:dyDescent="0.25">
      <c r="A82" s="4" t="s">
        <v>280</v>
      </c>
      <c r="B82" s="5" t="s">
        <v>217</v>
      </c>
      <c r="C82" s="5" t="s">
        <v>218</v>
      </c>
      <c r="D82" s="6"/>
      <c r="E82" s="7">
        <v>378.26</v>
      </c>
      <c r="F82" s="5" t="s">
        <v>281</v>
      </c>
      <c r="G82" s="8" t="s">
        <v>22</v>
      </c>
      <c r="H82" s="8" t="s">
        <v>22</v>
      </c>
      <c r="I82" s="8" t="s">
        <v>22</v>
      </c>
      <c r="J82" s="8" t="s">
        <v>23</v>
      </c>
      <c r="K82" s="8" t="s">
        <v>23</v>
      </c>
      <c r="L82" s="8" t="s">
        <v>21</v>
      </c>
      <c r="M82" s="10" t="s">
        <v>29</v>
      </c>
      <c r="N82" s="5" t="s">
        <v>282</v>
      </c>
      <c r="O82" s="5" t="s">
        <v>283</v>
      </c>
    </row>
    <row r="83" ht="33" customHeight="1" spans="1:15" x14ac:dyDescent="0.25">
      <c r="A83" s="4" t="s">
        <v>284</v>
      </c>
      <c r="B83" s="5" t="s">
        <v>217</v>
      </c>
      <c r="C83" s="5" t="s">
        <v>218</v>
      </c>
      <c r="D83" s="6"/>
      <c r="E83" s="7">
        <v>41.34</v>
      </c>
      <c r="F83" s="5" t="s">
        <v>285</v>
      </c>
      <c r="G83" s="8" t="s">
        <v>22</v>
      </c>
      <c r="H83" s="8" t="s">
        <v>22</v>
      </c>
      <c r="I83" s="8" t="s">
        <v>22</v>
      </c>
      <c r="J83" s="8" t="s">
        <v>23</v>
      </c>
      <c r="K83" s="8" t="s">
        <v>23</v>
      </c>
      <c r="L83" s="8" t="s">
        <v>21</v>
      </c>
      <c r="M83" s="10" t="s">
        <v>29</v>
      </c>
      <c r="N83" s="5" t="s">
        <v>286</v>
      </c>
      <c r="O83" s="5" t="s">
        <v>287</v>
      </c>
    </row>
    <row r="84" ht="30" customHeight="1" spans="1:15" x14ac:dyDescent="0.25">
      <c r="A84" s="4" t="s">
        <v>288</v>
      </c>
      <c r="B84" s="5" t="s">
        <v>217</v>
      </c>
      <c r="C84" s="5" t="s">
        <v>218</v>
      </c>
      <c r="D84" s="6"/>
      <c r="E84" s="7">
        <v>41.34</v>
      </c>
      <c r="F84" s="5" t="s">
        <v>289</v>
      </c>
      <c r="G84" s="8" t="s">
        <v>21</v>
      </c>
      <c r="H84" s="8" t="s">
        <v>21</v>
      </c>
      <c r="I84" s="8" t="s">
        <v>21</v>
      </c>
      <c r="J84" s="8" t="s">
        <v>23</v>
      </c>
      <c r="K84" s="8" t="s">
        <v>21</v>
      </c>
      <c r="L84" s="8" t="s">
        <v>21</v>
      </c>
      <c r="M84" s="9" t="s">
        <v>24</v>
      </c>
      <c r="N84" s="5" t="s">
        <v>40</v>
      </c>
      <c r="O84" s="5" t="s">
        <v>290</v>
      </c>
    </row>
    <row r="85" ht="33" customHeight="1" spans="1:15" x14ac:dyDescent="0.25">
      <c r="A85" s="4" t="s">
        <v>291</v>
      </c>
      <c r="B85" s="5" t="s">
        <v>217</v>
      </c>
      <c r="C85" s="5" t="s">
        <v>218</v>
      </c>
      <c r="D85" s="6"/>
      <c r="E85" s="7">
        <v>4958.2</v>
      </c>
      <c r="F85" s="5" t="s">
        <v>292</v>
      </c>
      <c r="G85" s="8" t="s">
        <v>22</v>
      </c>
      <c r="H85" s="8" t="s">
        <v>22</v>
      </c>
      <c r="I85" s="8" t="s">
        <v>22</v>
      </c>
      <c r="J85" s="8" t="s">
        <v>23</v>
      </c>
      <c r="K85" s="8" t="s">
        <v>23</v>
      </c>
      <c r="L85" s="8" t="s">
        <v>21</v>
      </c>
      <c r="M85" s="10" t="s">
        <v>29</v>
      </c>
      <c r="N85" s="5" t="s">
        <v>293</v>
      </c>
      <c r="O85" s="5" t="s">
        <v>294</v>
      </c>
    </row>
    <row r="86" ht="46.5" customHeight="1" spans="1:15" x14ac:dyDescent="0.25">
      <c r="A86" s="4" t="s">
        <v>295</v>
      </c>
      <c r="B86" s="5" t="s">
        <v>217</v>
      </c>
      <c r="C86" s="5" t="s">
        <v>218</v>
      </c>
      <c r="D86" s="6">
        <v>46183.625</v>
      </c>
      <c r="E86" s="7">
        <v>3746.42</v>
      </c>
      <c r="F86" s="5" t="s">
        <v>296</v>
      </c>
      <c r="G86" s="8" t="s">
        <v>21</v>
      </c>
      <c r="H86" s="8" t="s">
        <v>23</v>
      </c>
      <c r="I86" s="8" t="s">
        <v>21</v>
      </c>
      <c r="J86" s="8" t="s">
        <v>23</v>
      </c>
      <c r="K86" s="8" t="s">
        <v>21</v>
      </c>
      <c r="L86" s="8" t="s">
        <v>21</v>
      </c>
      <c r="M86" s="9" t="s">
        <v>24</v>
      </c>
      <c r="N86" s="5" t="s">
        <v>40</v>
      </c>
      <c r="O86" s="5" t="s">
        <v>297</v>
      </c>
    </row>
    <row r="87" ht="33" customHeight="1" spans="1:15" x14ac:dyDescent="0.25">
      <c r="A87" s="4" t="s">
        <v>298</v>
      </c>
      <c r="B87" s="5" t="s">
        <v>299</v>
      </c>
      <c r="C87" s="5" t="s">
        <v>300</v>
      </c>
      <c r="D87" s="6">
        <v>45955.625</v>
      </c>
      <c r="E87" s="7">
        <v>125.88</v>
      </c>
      <c r="F87" s="5" t="s">
        <v>301</v>
      </c>
      <c r="G87" s="8" t="s">
        <v>21</v>
      </c>
      <c r="H87" s="8" t="s">
        <v>21</v>
      </c>
      <c r="I87" s="8" t="s">
        <v>21</v>
      </c>
      <c r="J87" s="8" t="s">
        <v>23</v>
      </c>
      <c r="K87" s="8" t="s">
        <v>21</v>
      </c>
      <c r="L87" s="8" t="s">
        <v>21</v>
      </c>
      <c r="M87" s="12" t="s">
        <v>110</v>
      </c>
      <c r="N87" s="5" t="s">
        <v>40</v>
      </c>
      <c r="O87" s="5" t="s">
        <v>302</v>
      </c>
    </row>
    <row r="88" ht="30" customHeight="1" spans="1:15" x14ac:dyDescent="0.25">
      <c r="A88" s="4" t="s">
        <v>303</v>
      </c>
      <c r="B88" s="5" t="s">
        <v>299</v>
      </c>
      <c r="C88" s="5" t="s">
        <v>300</v>
      </c>
      <c r="D88" s="6">
        <v>45957.625</v>
      </c>
      <c r="E88" s="7">
        <v>84.2</v>
      </c>
      <c r="F88" s="5" t="s">
        <v>304</v>
      </c>
      <c r="G88" s="8" t="s">
        <v>21</v>
      </c>
      <c r="H88" s="8" t="s">
        <v>21</v>
      </c>
      <c r="I88" s="8" t="s">
        <v>21</v>
      </c>
      <c r="J88" s="8" t="s">
        <v>23</v>
      </c>
      <c r="K88" s="8" t="s">
        <v>21</v>
      </c>
      <c r="L88" s="8" t="s">
        <v>21</v>
      </c>
      <c r="M88" s="12" t="s">
        <v>110</v>
      </c>
      <c r="N88" s="5" t="s">
        <v>40</v>
      </c>
      <c r="O88" s="5" t="s">
        <v>305</v>
      </c>
    </row>
    <row r="89" ht="30" customHeight="1" spans="1:15" x14ac:dyDescent="0.25">
      <c r="A89" s="4" t="s">
        <v>306</v>
      </c>
      <c r="B89" s="5" t="s">
        <v>299</v>
      </c>
      <c r="C89" s="5" t="s">
        <v>300</v>
      </c>
      <c r="D89" s="6">
        <v>45958.625</v>
      </c>
      <c r="E89" s="7">
        <v>25</v>
      </c>
      <c r="F89" s="5" t="s">
        <v>307</v>
      </c>
      <c r="G89" s="8" t="s">
        <v>21</v>
      </c>
      <c r="H89" s="8" t="s">
        <v>21</v>
      </c>
      <c r="I89" s="8" t="s">
        <v>21</v>
      </c>
      <c r="J89" s="8" t="s">
        <v>23</v>
      </c>
      <c r="K89" s="8" t="s">
        <v>21</v>
      </c>
      <c r="L89" s="8" t="s">
        <v>21</v>
      </c>
      <c r="M89" s="12" t="s">
        <v>110</v>
      </c>
      <c r="N89" s="5" t="s">
        <v>40</v>
      </c>
      <c r="O89" s="5" t="s">
        <v>308</v>
      </c>
    </row>
    <row r="90" ht="30" customHeight="1" spans="1:15" x14ac:dyDescent="0.25">
      <c r="A90" s="4" t="s">
        <v>309</v>
      </c>
      <c r="B90" s="5" t="s">
        <v>299</v>
      </c>
      <c r="C90" s="5" t="s">
        <v>300</v>
      </c>
      <c r="D90" s="6">
        <v>45959.625</v>
      </c>
      <c r="E90" s="7">
        <v>25.98</v>
      </c>
      <c r="F90" s="5" t="s">
        <v>310</v>
      </c>
      <c r="G90" s="8" t="s">
        <v>21</v>
      </c>
      <c r="H90" s="8" t="s">
        <v>21</v>
      </c>
      <c r="I90" s="8" t="s">
        <v>21</v>
      </c>
      <c r="J90" s="8" t="s">
        <v>23</v>
      </c>
      <c r="K90" s="8" t="s">
        <v>21</v>
      </c>
      <c r="L90" s="8" t="s">
        <v>21</v>
      </c>
      <c r="M90" s="12" t="s">
        <v>110</v>
      </c>
      <c r="N90" s="5" t="s">
        <v>40</v>
      </c>
      <c r="O90" s="5" t="s">
        <v>311</v>
      </c>
    </row>
    <row r="91" ht="30" customHeight="1" spans="1:15" x14ac:dyDescent="0.25">
      <c r="A91" s="4" t="s">
        <v>312</v>
      </c>
      <c r="B91" s="5" t="s">
        <v>299</v>
      </c>
      <c r="C91" s="5" t="s">
        <v>300</v>
      </c>
      <c r="D91" s="6">
        <v>45980.625</v>
      </c>
      <c r="E91" s="7">
        <v>112.22</v>
      </c>
      <c r="F91" s="5" t="s">
        <v>313</v>
      </c>
      <c r="G91" s="8" t="s">
        <v>21</v>
      </c>
      <c r="H91" s="8" t="s">
        <v>21</v>
      </c>
      <c r="I91" s="8" t="s">
        <v>21</v>
      </c>
      <c r="J91" s="8" t="s">
        <v>23</v>
      </c>
      <c r="K91" s="8" t="s">
        <v>21</v>
      </c>
      <c r="L91" s="8" t="s">
        <v>21</v>
      </c>
      <c r="M91" s="12" t="s">
        <v>110</v>
      </c>
      <c r="N91" s="5" t="s">
        <v>40</v>
      </c>
      <c r="O91" s="5" t="s">
        <v>314</v>
      </c>
    </row>
    <row r="92" ht="30" customHeight="1" spans="1:15" x14ac:dyDescent="0.25">
      <c r="A92" s="4" t="s">
        <v>315</v>
      </c>
      <c r="B92" s="5" t="s">
        <v>299</v>
      </c>
      <c r="C92" s="5" t="s">
        <v>300</v>
      </c>
      <c r="D92" s="6">
        <v>46130.625</v>
      </c>
      <c r="E92" s="7">
        <v>143</v>
      </c>
      <c r="F92" s="5" t="s">
        <v>316</v>
      </c>
      <c r="G92" s="8" t="s">
        <v>21</v>
      </c>
      <c r="H92" s="8" t="s">
        <v>21</v>
      </c>
      <c r="I92" s="8" t="s">
        <v>21</v>
      </c>
      <c r="J92" s="8" t="s">
        <v>23</v>
      </c>
      <c r="K92" s="8" t="s">
        <v>21</v>
      </c>
      <c r="L92" s="8" t="s">
        <v>21</v>
      </c>
      <c r="M92" s="12" t="s">
        <v>110</v>
      </c>
      <c r="N92" s="5" t="s">
        <v>40</v>
      </c>
      <c r="O92" s="5" t="s">
        <v>317</v>
      </c>
    </row>
    <row r="93" ht="30" customHeight="1" spans="1:15" x14ac:dyDescent="0.25">
      <c r="A93" s="4" t="s">
        <v>318</v>
      </c>
      <c r="B93" s="5" t="s">
        <v>299</v>
      </c>
      <c r="C93" s="5" t="s">
        <v>300</v>
      </c>
      <c r="D93" s="6">
        <v>46140.625</v>
      </c>
      <c r="E93" s="7">
        <v>104.4</v>
      </c>
      <c r="F93" s="5" t="s">
        <v>319</v>
      </c>
      <c r="G93" s="8" t="s">
        <v>21</v>
      </c>
      <c r="H93" s="8" t="s">
        <v>21</v>
      </c>
      <c r="I93" s="8" t="s">
        <v>21</v>
      </c>
      <c r="J93" s="8" t="s">
        <v>23</v>
      </c>
      <c r="K93" s="8" t="s">
        <v>21</v>
      </c>
      <c r="L93" s="8" t="s">
        <v>21</v>
      </c>
      <c r="M93" s="12" t="s">
        <v>110</v>
      </c>
      <c r="N93" s="5" t="s">
        <v>40</v>
      </c>
      <c r="O93" s="5" t="s">
        <v>320</v>
      </c>
    </row>
    <row r="94" ht="33" customHeight="1" spans="1:15" x14ac:dyDescent="0.25">
      <c r="A94" s="4" t="s">
        <v>321</v>
      </c>
      <c r="B94" s="5" t="s">
        <v>299</v>
      </c>
      <c r="C94" s="5" t="s">
        <v>300</v>
      </c>
      <c r="D94" s="6">
        <v>46244.625</v>
      </c>
      <c r="E94" s="7">
        <v>255.3</v>
      </c>
      <c r="F94" s="5" t="s">
        <v>322</v>
      </c>
      <c r="G94" s="8" t="s">
        <v>22</v>
      </c>
      <c r="H94" s="8" t="s">
        <v>22</v>
      </c>
      <c r="I94" s="8" t="s">
        <v>22</v>
      </c>
      <c r="J94" s="8" t="s">
        <v>23</v>
      </c>
      <c r="K94" s="8" t="s">
        <v>22</v>
      </c>
      <c r="L94" s="8" t="s">
        <v>21</v>
      </c>
      <c r="M94" s="10" t="s">
        <v>29</v>
      </c>
      <c r="N94" s="5" t="s">
        <v>323</v>
      </c>
      <c r="O94" s="5" t="s">
        <v>324</v>
      </c>
    </row>
    <row r="95" ht="30" customHeight="1" spans="1:15" x14ac:dyDescent="0.25">
      <c r="A95" s="4" t="s">
        <v>325</v>
      </c>
      <c r="B95" s="5" t="s">
        <v>299</v>
      </c>
      <c r="C95" s="5" t="s">
        <v>300</v>
      </c>
      <c r="D95" s="6">
        <v>46260.625</v>
      </c>
      <c r="E95" s="7">
        <v>149.38</v>
      </c>
      <c r="F95" s="5" t="s">
        <v>326</v>
      </c>
      <c r="G95" s="8" t="s">
        <v>21</v>
      </c>
      <c r="H95" s="8" t="s">
        <v>21</v>
      </c>
      <c r="I95" s="8" t="s">
        <v>21</v>
      </c>
      <c r="J95" s="8" t="s">
        <v>23</v>
      </c>
      <c r="K95" s="8" t="s">
        <v>21</v>
      </c>
      <c r="L95" s="8" t="s">
        <v>21</v>
      </c>
      <c r="M95" s="12" t="s">
        <v>110</v>
      </c>
      <c r="N95" s="5" t="s">
        <v>40</v>
      </c>
      <c r="O95" s="5" t="s">
        <v>327</v>
      </c>
    </row>
    <row r="96" ht="30" customHeight="1" spans="1:15" x14ac:dyDescent="0.25">
      <c r="A96" s="4" t="s">
        <v>328</v>
      </c>
      <c r="B96" s="5" t="s">
        <v>299</v>
      </c>
      <c r="C96" s="5" t="s">
        <v>300</v>
      </c>
      <c r="D96" s="6">
        <v>46265.625</v>
      </c>
      <c r="E96" s="7">
        <v>443.95</v>
      </c>
      <c r="F96" s="5" t="s">
        <v>329</v>
      </c>
      <c r="G96" s="8" t="s">
        <v>21</v>
      </c>
      <c r="H96" s="8" t="s">
        <v>21</v>
      </c>
      <c r="I96" s="8" t="s">
        <v>21</v>
      </c>
      <c r="J96" s="8" t="s">
        <v>23</v>
      </c>
      <c r="K96" s="8" t="s">
        <v>21</v>
      </c>
      <c r="L96" s="8" t="s">
        <v>21</v>
      </c>
      <c r="M96" s="12" t="s">
        <v>110</v>
      </c>
      <c r="N96" s="5" t="s">
        <v>40</v>
      </c>
      <c r="O96" s="5" t="s">
        <v>330</v>
      </c>
    </row>
    <row r="97" ht="87" customHeight="1" spans="1:15" x14ac:dyDescent="0.25">
      <c r="A97" s="4" t="s">
        <v>331</v>
      </c>
      <c r="B97" s="5" t="s">
        <v>299</v>
      </c>
      <c r="C97" s="5" t="s">
        <v>300</v>
      </c>
      <c r="D97" s="6">
        <v>45855.625</v>
      </c>
      <c r="E97" s="7">
        <v>127.49</v>
      </c>
      <c r="F97" s="5" t="s">
        <v>332</v>
      </c>
      <c r="G97" s="8" t="s">
        <v>22</v>
      </c>
      <c r="H97" s="8" t="s">
        <v>22</v>
      </c>
      <c r="I97" s="8" t="s">
        <v>22</v>
      </c>
      <c r="J97" s="8" t="s">
        <v>23</v>
      </c>
      <c r="K97" s="8" t="s">
        <v>23</v>
      </c>
      <c r="L97" s="8" t="s">
        <v>21</v>
      </c>
      <c r="M97" s="10" t="s">
        <v>29</v>
      </c>
      <c r="N97" s="5" t="s">
        <v>333</v>
      </c>
      <c r="O97" s="5" t="s">
        <v>334</v>
      </c>
    </row>
    <row r="98" ht="33" customHeight="1" spans="1:15" x14ac:dyDescent="0.25">
      <c r="A98" s="4" t="s">
        <v>335</v>
      </c>
      <c r="B98" s="5" t="s">
        <v>299</v>
      </c>
      <c r="C98" s="5" t="s">
        <v>300</v>
      </c>
      <c r="D98" s="6">
        <v>45997.625</v>
      </c>
      <c r="E98" s="7">
        <v>329.83</v>
      </c>
      <c r="F98" s="5" t="s">
        <v>336</v>
      </c>
      <c r="G98" s="8" t="s">
        <v>22</v>
      </c>
      <c r="H98" s="8" t="s">
        <v>22</v>
      </c>
      <c r="I98" s="8" t="s">
        <v>22</v>
      </c>
      <c r="J98" s="8" t="s">
        <v>23</v>
      </c>
      <c r="K98" s="8" t="s">
        <v>23</v>
      </c>
      <c r="L98" s="8" t="s">
        <v>21</v>
      </c>
      <c r="M98" s="10" t="s">
        <v>29</v>
      </c>
      <c r="N98" s="5" t="s">
        <v>337</v>
      </c>
      <c r="O98" s="5" t="s">
        <v>338</v>
      </c>
    </row>
    <row r="99" ht="33" customHeight="1" spans="1:15" x14ac:dyDescent="0.25">
      <c r="A99" s="4" t="s">
        <v>339</v>
      </c>
      <c r="B99" s="5" t="s">
        <v>299</v>
      </c>
      <c r="C99" s="5" t="s">
        <v>300</v>
      </c>
      <c r="D99" s="6">
        <v>46024.625</v>
      </c>
      <c r="E99" s="7">
        <v>135.5</v>
      </c>
      <c r="F99" s="5" t="s">
        <v>340</v>
      </c>
      <c r="G99" s="8" t="s">
        <v>22</v>
      </c>
      <c r="H99" s="8" t="s">
        <v>22</v>
      </c>
      <c r="I99" s="8" t="s">
        <v>22</v>
      </c>
      <c r="J99" s="8" t="s">
        <v>23</v>
      </c>
      <c r="K99" s="8" t="s">
        <v>23</v>
      </c>
      <c r="L99" s="8" t="s">
        <v>21</v>
      </c>
      <c r="M99" s="10" t="s">
        <v>29</v>
      </c>
      <c r="N99" s="5" t="s">
        <v>341</v>
      </c>
      <c r="O99" s="5" t="s">
        <v>342</v>
      </c>
    </row>
    <row r="100" ht="46.5" customHeight="1" spans="1:15" x14ac:dyDescent="0.25">
      <c r="A100" s="4" t="s">
        <v>343</v>
      </c>
      <c r="B100" s="5" t="s">
        <v>299</v>
      </c>
      <c r="C100" s="5" t="s">
        <v>300</v>
      </c>
      <c r="D100" s="6">
        <v>46099.625</v>
      </c>
      <c r="E100" s="7">
        <v>510</v>
      </c>
      <c r="F100" s="5" t="s">
        <v>344</v>
      </c>
      <c r="G100" s="8" t="s">
        <v>21</v>
      </c>
      <c r="H100" s="8" t="s">
        <v>21</v>
      </c>
      <c r="I100" s="8" t="s">
        <v>34</v>
      </c>
      <c r="J100" s="8" t="s">
        <v>23</v>
      </c>
      <c r="K100" s="8" t="s">
        <v>21</v>
      </c>
      <c r="L100" s="8" t="s">
        <v>21</v>
      </c>
      <c r="M100" s="9" t="s">
        <v>24</v>
      </c>
      <c r="N100" s="5" t="s">
        <v>345</v>
      </c>
      <c r="O100" s="5" t="s">
        <v>346</v>
      </c>
    </row>
    <row r="101" ht="30" customHeight="1" spans="1:15" x14ac:dyDescent="0.25">
      <c r="A101" s="4" t="s">
        <v>347</v>
      </c>
      <c r="B101" s="5" t="s">
        <v>299</v>
      </c>
      <c r="C101" s="5" t="s">
        <v>300</v>
      </c>
      <c r="D101" s="6">
        <v>46139.625</v>
      </c>
      <c r="E101" s="7">
        <v>28.43</v>
      </c>
      <c r="F101" s="5" t="s">
        <v>348</v>
      </c>
      <c r="G101" s="8" t="s">
        <v>21</v>
      </c>
      <c r="H101" s="8" t="s">
        <v>21</v>
      </c>
      <c r="I101" s="8" t="s">
        <v>21</v>
      </c>
      <c r="J101" s="8" t="s">
        <v>23</v>
      </c>
      <c r="K101" s="8" t="s">
        <v>21</v>
      </c>
      <c r="L101" s="8" t="s">
        <v>21</v>
      </c>
      <c r="M101" s="12" t="s">
        <v>110</v>
      </c>
      <c r="N101" s="5" t="s">
        <v>40</v>
      </c>
      <c r="O101" s="5" t="s">
        <v>349</v>
      </c>
    </row>
    <row r="102" ht="60" customHeight="1" spans="1:15" x14ac:dyDescent="0.25">
      <c r="A102" s="4" t="s">
        <v>350</v>
      </c>
      <c r="B102" s="5" t="s">
        <v>299</v>
      </c>
      <c r="C102" s="5" t="s">
        <v>300</v>
      </c>
      <c r="D102" s="6">
        <v>46191.625</v>
      </c>
      <c r="E102" s="7">
        <v>2265</v>
      </c>
      <c r="F102" s="5" t="s">
        <v>351</v>
      </c>
      <c r="G102" s="8" t="s">
        <v>34</v>
      </c>
      <c r="H102" s="8" t="s">
        <v>34</v>
      </c>
      <c r="I102" s="8" t="s">
        <v>34</v>
      </c>
      <c r="J102" s="8" t="s">
        <v>23</v>
      </c>
      <c r="K102" s="8" t="s">
        <v>21</v>
      </c>
      <c r="L102" s="8" t="s">
        <v>21</v>
      </c>
      <c r="M102" s="11" t="s">
        <v>35</v>
      </c>
      <c r="N102" s="5" t="s">
        <v>352</v>
      </c>
      <c r="O102" s="5" t="s">
        <v>353</v>
      </c>
    </row>
    <row r="103" ht="33" customHeight="1" spans="1:15" x14ac:dyDescent="0.25">
      <c r="A103" s="4" t="s">
        <v>354</v>
      </c>
      <c r="B103" s="5" t="s">
        <v>299</v>
      </c>
      <c r="C103" s="5" t="s">
        <v>300</v>
      </c>
      <c r="D103" s="6">
        <v>46207.625</v>
      </c>
      <c r="E103" s="7">
        <v>960</v>
      </c>
      <c r="F103" s="5" t="s">
        <v>355</v>
      </c>
      <c r="G103" s="8" t="s">
        <v>21</v>
      </c>
      <c r="H103" s="8" t="s">
        <v>21</v>
      </c>
      <c r="I103" s="8" t="s">
        <v>21</v>
      </c>
      <c r="J103" s="8" t="s">
        <v>23</v>
      </c>
      <c r="K103" s="8" t="s">
        <v>21</v>
      </c>
      <c r="L103" s="8" t="s">
        <v>21</v>
      </c>
      <c r="M103" s="9" t="s">
        <v>24</v>
      </c>
      <c r="N103" s="5" t="s">
        <v>356</v>
      </c>
      <c r="O103" s="5" t="s">
        <v>357</v>
      </c>
    </row>
    <row r="104" ht="30" customHeight="1" spans="1:15" x14ac:dyDescent="0.25">
      <c r="A104" s="4" t="s">
        <v>358</v>
      </c>
      <c r="B104" s="5" t="s">
        <v>299</v>
      </c>
      <c r="C104" s="5" t="s">
        <v>300</v>
      </c>
      <c r="D104" s="6">
        <v>46234.625</v>
      </c>
      <c r="E104" s="7">
        <v>46.9</v>
      </c>
      <c r="F104" s="5" t="s">
        <v>359</v>
      </c>
      <c r="G104" s="8" t="s">
        <v>21</v>
      </c>
      <c r="H104" s="8" t="s">
        <v>21</v>
      </c>
      <c r="I104" s="8" t="s">
        <v>21</v>
      </c>
      <c r="J104" s="8" t="s">
        <v>23</v>
      </c>
      <c r="K104" s="8" t="s">
        <v>21</v>
      </c>
      <c r="L104" s="8" t="s">
        <v>21</v>
      </c>
      <c r="M104" s="9" t="s">
        <v>24</v>
      </c>
      <c r="N104" s="5" t="s">
        <v>40</v>
      </c>
      <c r="O104" s="5" t="s">
        <v>360</v>
      </c>
    </row>
    <row r="105" ht="33" customHeight="1" spans="1:15" x14ac:dyDescent="0.25">
      <c r="A105" s="4" t="s">
        <v>361</v>
      </c>
      <c r="B105" s="5" t="s">
        <v>299</v>
      </c>
      <c r="C105" s="5" t="s">
        <v>300</v>
      </c>
      <c r="D105" s="6">
        <v>46237.625</v>
      </c>
      <c r="E105" s="7">
        <v>34.02</v>
      </c>
      <c r="F105" s="5" t="s">
        <v>362</v>
      </c>
      <c r="G105" s="8" t="s">
        <v>22</v>
      </c>
      <c r="H105" s="8" t="s">
        <v>22</v>
      </c>
      <c r="I105" s="8" t="s">
        <v>22</v>
      </c>
      <c r="J105" s="8" t="s">
        <v>23</v>
      </c>
      <c r="K105" s="8" t="s">
        <v>23</v>
      </c>
      <c r="L105" s="8" t="s">
        <v>21</v>
      </c>
      <c r="M105" s="10" t="s">
        <v>29</v>
      </c>
      <c r="N105" s="5" t="s">
        <v>363</v>
      </c>
      <c r="O105" s="5" t="s">
        <v>364</v>
      </c>
    </row>
    <row r="106" ht="33" customHeight="1" spans="1:15" x14ac:dyDescent="0.25">
      <c r="A106" s="4" t="s">
        <v>365</v>
      </c>
      <c r="B106" s="5" t="s">
        <v>299</v>
      </c>
      <c r="C106" s="5" t="s">
        <v>300</v>
      </c>
      <c r="D106" s="6">
        <v>46242.625</v>
      </c>
      <c r="E106" s="7">
        <v>29.55</v>
      </c>
      <c r="F106" s="5" t="s">
        <v>366</v>
      </c>
      <c r="G106" s="8" t="s">
        <v>22</v>
      </c>
      <c r="H106" s="8" t="s">
        <v>22</v>
      </c>
      <c r="I106" s="8" t="s">
        <v>22</v>
      </c>
      <c r="J106" s="8" t="s">
        <v>23</v>
      </c>
      <c r="K106" s="8" t="s">
        <v>23</v>
      </c>
      <c r="L106" s="8" t="s">
        <v>21</v>
      </c>
      <c r="M106" s="10" t="s">
        <v>29</v>
      </c>
      <c r="N106" s="5" t="s">
        <v>367</v>
      </c>
      <c r="O106" s="5" t="s">
        <v>368</v>
      </c>
    </row>
    <row r="107" ht="33" customHeight="1" spans="1:15" x14ac:dyDescent="0.25">
      <c r="A107" s="4" t="s">
        <v>369</v>
      </c>
      <c r="B107" s="5" t="s">
        <v>299</v>
      </c>
      <c r="C107" s="5" t="s">
        <v>300</v>
      </c>
      <c r="D107" s="6">
        <v>46249.625</v>
      </c>
      <c r="E107" s="7">
        <v>201.18</v>
      </c>
      <c r="F107" s="5" t="s">
        <v>370</v>
      </c>
      <c r="G107" s="8" t="s">
        <v>22</v>
      </c>
      <c r="H107" s="8" t="s">
        <v>22</v>
      </c>
      <c r="I107" s="8" t="s">
        <v>22</v>
      </c>
      <c r="J107" s="8" t="s">
        <v>23</v>
      </c>
      <c r="K107" s="8" t="s">
        <v>23</v>
      </c>
      <c r="L107" s="8" t="s">
        <v>21</v>
      </c>
      <c r="M107" s="10" t="s">
        <v>29</v>
      </c>
      <c r="N107" s="5" t="s">
        <v>371</v>
      </c>
      <c r="O107" s="5" t="s">
        <v>372</v>
      </c>
    </row>
    <row r="108" ht="30" customHeight="1" spans="1:15" x14ac:dyDescent="0.25">
      <c r="A108" s="4" t="s">
        <v>373</v>
      </c>
      <c r="B108" s="5" t="s">
        <v>299</v>
      </c>
      <c r="C108" s="5" t="s">
        <v>300</v>
      </c>
      <c r="D108" s="6">
        <v>46249.625</v>
      </c>
      <c r="E108" s="7">
        <v>337.35</v>
      </c>
      <c r="F108" s="5" t="s">
        <v>374</v>
      </c>
      <c r="G108" s="8" t="s">
        <v>21</v>
      </c>
      <c r="H108" s="8" t="s">
        <v>21</v>
      </c>
      <c r="I108" s="8" t="s">
        <v>21</v>
      </c>
      <c r="J108" s="8" t="s">
        <v>23</v>
      </c>
      <c r="K108" s="8" t="s">
        <v>21</v>
      </c>
      <c r="L108" s="8" t="s">
        <v>21</v>
      </c>
      <c r="M108" s="9" t="s">
        <v>24</v>
      </c>
      <c r="N108" s="5" t="s">
        <v>40</v>
      </c>
      <c r="O108" s="5" t="s">
        <v>375</v>
      </c>
    </row>
    <row r="109" ht="33" customHeight="1" spans="1:15" x14ac:dyDescent="0.25">
      <c r="A109" s="4" t="s">
        <v>376</v>
      </c>
      <c r="B109" s="5" t="s">
        <v>299</v>
      </c>
      <c r="C109" s="5" t="s">
        <v>300</v>
      </c>
      <c r="D109" s="6">
        <v>46249.625</v>
      </c>
      <c r="E109" s="7">
        <v>783.9</v>
      </c>
      <c r="F109" s="5" t="s">
        <v>377</v>
      </c>
      <c r="G109" s="8" t="s">
        <v>22</v>
      </c>
      <c r="H109" s="8" t="s">
        <v>22</v>
      </c>
      <c r="I109" s="8" t="s">
        <v>22</v>
      </c>
      <c r="J109" s="8" t="s">
        <v>23</v>
      </c>
      <c r="K109" s="8" t="s">
        <v>23</v>
      </c>
      <c r="L109" s="8" t="s">
        <v>21</v>
      </c>
      <c r="M109" s="10" t="s">
        <v>29</v>
      </c>
      <c r="N109" s="5" t="s">
        <v>378</v>
      </c>
      <c r="O109" s="5" t="s">
        <v>379</v>
      </c>
    </row>
    <row r="110" ht="33" customHeight="1" spans="1:15" x14ac:dyDescent="0.25">
      <c r="A110" s="4" t="s">
        <v>380</v>
      </c>
      <c r="B110" s="5" t="s">
        <v>299</v>
      </c>
      <c r="C110" s="5" t="s">
        <v>300</v>
      </c>
      <c r="D110" s="6">
        <v>46249.625</v>
      </c>
      <c r="E110" s="7">
        <v>1061.1</v>
      </c>
      <c r="F110" s="5" t="s">
        <v>381</v>
      </c>
      <c r="G110" s="8" t="s">
        <v>22</v>
      </c>
      <c r="H110" s="8" t="s">
        <v>22</v>
      </c>
      <c r="I110" s="8" t="s">
        <v>22</v>
      </c>
      <c r="J110" s="8" t="s">
        <v>23</v>
      </c>
      <c r="K110" s="8" t="s">
        <v>23</v>
      </c>
      <c r="L110" s="8" t="s">
        <v>21</v>
      </c>
      <c r="M110" s="10" t="s">
        <v>29</v>
      </c>
      <c r="N110" s="5" t="s">
        <v>378</v>
      </c>
      <c r="O110" s="5" t="s">
        <v>382</v>
      </c>
    </row>
    <row r="111" ht="33" customHeight="1" spans="1:15" x14ac:dyDescent="0.25">
      <c r="A111" s="4" t="s">
        <v>383</v>
      </c>
      <c r="B111" s="5" t="s">
        <v>299</v>
      </c>
      <c r="C111" s="5" t="s">
        <v>300</v>
      </c>
      <c r="D111" s="6">
        <v>46249.625</v>
      </c>
      <c r="E111" s="7">
        <v>1161.2</v>
      </c>
      <c r="F111" s="5" t="s">
        <v>384</v>
      </c>
      <c r="G111" s="8" t="s">
        <v>22</v>
      </c>
      <c r="H111" s="8" t="s">
        <v>22</v>
      </c>
      <c r="I111" s="8" t="s">
        <v>22</v>
      </c>
      <c r="J111" s="8" t="s">
        <v>23</v>
      </c>
      <c r="K111" s="8" t="s">
        <v>23</v>
      </c>
      <c r="L111" s="8" t="s">
        <v>21</v>
      </c>
      <c r="M111" s="10" t="s">
        <v>29</v>
      </c>
      <c r="N111" s="5" t="s">
        <v>371</v>
      </c>
      <c r="O111" s="5" t="s">
        <v>385</v>
      </c>
    </row>
    <row r="112" ht="33" customHeight="1" spans="1:15" x14ac:dyDescent="0.25">
      <c r="A112" s="4" t="s">
        <v>386</v>
      </c>
      <c r="B112" s="5" t="s">
        <v>299</v>
      </c>
      <c r="C112" s="5" t="s">
        <v>300</v>
      </c>
      <c r="D112" s="6">
        <v>46258.625</v>
      </c>
      <c r="E112" s="7">
        <v>1252.54</v>
      </c>
      <c r="F112" s="5" t="s">
        <v>387</v>
      </c>
      <c r="G112" s="8" t="s">
        <v>34</v>
      </c>
      <c r="H112" s="8" t="s">
        <v>34</v>
      </c>
      <c r="I112" s="8" t="s">
        <v>34</v>
      </c>
      <c r="J112" s="8" t="s">
        <v>23</v>
      </c>
      <c r="K112" s="8" t="s">
        <v>21</v>
      </c>
      <c r="L112" s="8" t="s">
        <v>21</v>
      </c>
      <c r="M112" s="11" t="s">
        <v>35</v>
      </c>
      <c r="N112" s="5" t="s">
        <v>388</v>
      </c>
      <c r="O112" s="5" t="s">
        <v>389</v>
      </c>
    </row>
    <row r="113" ht="33" customHeight="1" spans="1:15" x14ac:dyDescent="0.25">
      <c r="A113" s="4" t="s">
        <v>390</v>
      </c>
      <c r="B113" s="5" t="s">
        <v>299</v>
      </c>
      <c r="C113" s="5" t="s">
        <v>300</v>
      </c>
      <c r="D113" s="6">
        <v>46260.625</v>
      </c>
      <c r="E113" s="7">
        <v>299.9</v>
      </c>
      <c r="F113" s="5" t="s">
        <v>391</v>
      </c>
      <c r="G113" s="8" t="s">
        <v>22</v>
      </c>
      <c r="H113" s="8" t="s">
        <v>34</v>
      </c>
      <c r="I113" s="8" t="s">
        <v>22</v>
      </c>
      <c r="J113" s="8" t="s">
        <v>23</v>
      </c>
      <c r="K113" s="8" t="s">
        <v>23</v>
      </c>
      <c r="L113" s="8" t="s">
        <v>21</v>
      </c>
      <c r="M113" s="10" t="s">
        <v>29</v>
      </c>
      <c r="N113" s="5" t="s">
        <v>40</v>
      </c>
      <c r="O113" s="5" t="s">
        <v>392</v>
      </c>
    </row>
    <row r="114" ht="33" customHeight="1" spans="1:15" x14ac:dyDescent="0.25">
      <c r="A114" s="4" t="s">
        <v>393</v>
      </c>
      <c r="B114" s="5" t="s">
        <v>394</v>
      </c>
      <c r="C114" s="5" t="s">
        <v>395</v>
      </c>
      <c r="D114" s="6">
        <v>45575.625</v>
      </c>
      <c r="E114" s="7">
        <v>137.28</v>
      </c>
      <c r="F114" s="5" t="s">
        <v>396</v>
      </c>
      <c r="G114" s="8" t="s">
        <v>21</v>
      </c>
      <c r="H114" s="8" t="s">
        <v>21</v>
      </c>
      <c r="I114" s="8" t="s">
        <v>22</v>
      </c>
      <c r="J114" s="8" t="s">
        <v>23</v>
      </c>
      <c r="K114" s="8" t="s">
        <v>22</v>
      </c>
      <c r="L114" s="8" t="s">
        <v>22</v>
      </c>
      <c r="M114" s="11" t="s">
        <v>35</v>
      </c>
      <c r="N114" s="5" t="s">
        <v>40</v>
      </c>
      <c r="O114" s="5" t="s">
        <v>397</v>
      </c>
    </row>
    <row r="115" ht="46.5" customHeight="1" spans="1:15" x14ac:dyDescent="0.25">
      <c r="A115" s="4" t="s">
        <v>398</v>
      </c>
      <c r="B115" s="5" t="s">
        <v>394</v>
      </c>
      <c r="C115" s="5" t="s">
        <v>395</v>
      </c>
      <c r="D115" s="6">
        <v>45603.625</v>
      </c>
      <c r="E115" s="7">
        <v>150</v>
      </c>
      <c r="F115" s="5" t="s">
        <v>399</v>
      </c>
      <c r="G115" s="8" t="s">
        <v>21</v>
      </c>
      <c r="H115" s="8" t="s">
        <v>21</v>
      </c>
      <c r="I115" s="8" t="s">
        <v>22</v>
      </c>
      <c r="J115" s="8" t="s">
        <v>23</v>
      </c>
      <c r="K115" s="8" t="s">
        <v>22</v>
      </c>
      <c r="L115" s="8" t="s">
        <v>22</v>
      </c>
      <c r="M115" s="13" t="s">
        <v>129</v>
      </c>
      <c r="N115" s="5" t="s">
        <v>400</v>
      </c>
      <c r="O115" s="5" t="s">
        <v>401</v>
      </c>
    </row>
    <row r="116" ht="33" customHeight="1" spans="1:15" x14ac:dyDescent="0.25">
      <c r="A116" s="4" t="s">
        <v>402</v>
      </c>
      <c r="B116" s="5" t="s">
        <v>394</v>
      </c>
      <c r="C116" s="5" t="s">
        <v>395</v>
      </c>
      <c r="D116" s="6">
        <v>45730.625</v>
      </c>
      <c r="E116" s="7">
        <v>40</v>
      </c>
      <c r="F116" s="5" t="s">
        <v>403</v>
      </c>
      <c r="G116" s="8" t="s">
        <v>21</v>
      </c>
      <c r="H116" s="8" t="s">
        <v>21</v>
      </c>
      <c r="I116" s="8" t="s">
        <v>21</v>
      </c>
      <c r="J116" s="8" t="s">
        <v>23</v>
      </c>
      <c r="K116" s="8" t="s">
        <v>21</v>
      </c>
      <c r="L116" s="8" t="s">
        <v>21</v>
      </c>
      <c r="M116" s="9" t="s">
        <v>24</v>
      </c>
      <c r="N116" s="5" t="s">
        <v>40</v>
      </c>
      <c r="O116" s="5" t="s">
        <v>404</v>
      </c>
    </row>
    <row r="117" ht="46.5" customHeight="1" spans="1:15" x14ac:dyDescent="0.25">
      <c r="A117" s="4" t="s">
        <v>405</v>
      </c>
      <c r="B117" s="5" t="s">
        <v>394</v>
      </c>
      <c r="C117" s="5" t="s">
        <v>395</v>
      </c>
      <c r="D117" s="6">
        <v>45818.625</v>
      </c>
      <c r="E117" s="7">
        <v>350</v>
      </c>
      <c r="F117" s="5" t="s">
        <v>406</v>
      </c>
      <c r="G117" s="8" t="s">
        <v>22</v>
      </c>
      <c r="H117" s="8" t="s">
        <v>22</v>
      </c>
      <c r="I117" s="8" t="s">
        <v>22</v>
      </c>
      <c r="J117" s="8" t="s">
        <v>23</v>
      </c>
      <c r="K117" s="8" t="s">
        <v>23</v>
      </c>
      <c r="L117" s="8" t="s">
        <v>22</v>
      </c>
      <c r="M117" s="10" t="s">
        <v>29</v>
      </c>
      <c r="N117" s="5" t="s">
        <v>407</v>
      </c>
      <c r="O117" s="5" t="s">
        <v>408</v>
      </c>
    </row>
    <row r="118" ht="30" customHeight="1" spans="1:15" x14ac:dyDescent="0.25">
      <c r="A118" s="4" t="s">
        <v>409</v>
      </c>
      <c r="B118" s="5" t="s">
        <v>394</v>
      </c>
      <c r="C118" s="5" t="s">
        <v>395</v>
      </c>
      <c r="D118" s="6">
        <v>45898.625</v>
      </c>
      <c r="E118" s="7">
        <v>161.3</v>
      </c>
      <c r="F118" s="5" t="s">
        <v>410</v>
      </c>
      <c r="G118" s="8" t="s">
        <v>21</v>
      </c>
      <c r="H118" s="8" t="s">
        <v>21</v>
      </c>
      <c r="I118" s="8" t="s">
        <v>21</v>
      </c>
      <c r="J118" s="8" t="s">
        <v>23</v>
      </c>
      <c r="K118" s="8" t="s">
        <v>21</v>
      </c>
      <c r="L118" s="8" t="s">
        <v>21</v>
      </c>
      <c r="M118" s="12" t="s">
        <v>110</v>
      </c>
      <c r="N118" s="5" t="s">
        <v>40</v>
      </c>
      <c r="O118" s="5" t="s">
        <v>411</v>
      </c>
    </row>
    <row r="119" ht="33" customHeight="1" spans="1:15" x14ac:dyDescent="0.25">
      <c r="A119" s="4" t="s">
        <v>412</v>
      </c>
      <c r="B119" s="5" t="s">
        <v>394</v>
      </c>
      <c r="C119" s="5" t="s">
        <v>395</v>
      </c>
      <c r="D119" s="6">
        <v>45908.625</v>
      </c>
      <c r="E119" s="7">
        <v>445.1</v>
      </c>
      <c r="F119" s="5" t="s">
        <v>413</v>
      </c>
      <c r="G119" s="8" t="s">
        <v>22</v>
      </c>
      <c r="H119" s="8" t="s">
        <v>22</v>
      </c>
      <c r="I119" s="8" t="s">
        <v>22</v>
      </c>
      <c r="J119" s="8" t="s">
        <v>23</v>
      </c>
      <c r="K119" s="8" t="s">
        <v>22</v>
      </c>
      <c r="L119" s="8" t="s">
        <v>21</v>
      </c>
      <c r="M119" s="10" t="s">
        <v>29</v>
      </c>
      <c r="N119" s="5" t="s">
        <v>414</v>
      </c>
      <c r="O119" s="5" t="s">
        <v>415</v>
      </c>
    </row>
    <row r="120" ht="30" customHeight="1" spans="1:15" x14ac:dyDescent="0.25">
      <c r="A120" s="4" t="s">
        <v>416</v>
      </c>
      <c r="B120" s="5" t="s">
        <v>394</v>
      </c>
      <c r="C120" s="5" t="s">
        <v>395</v>
      </c>
      <c r="D120" s="6">
        <v>45996.625</v>
      </c>
      <c r="E120" s="7">
        <v>50</v>
      </c>
      <c r="F120" s="5" t="s">
        <v>417</v>
      </c>
      <c r="G120" s="8" t="s">
        <v>21</v>
      </c>
      <c r="H120" s="8" t="s">
        <v>21</v>
      </c>
      <c r="I120" s="8" t="s">
        <v>21</v>
      </c>
      <c r="J120" s="8" t="s">
        <v>23</v>
      </c>
      <c r="K120" s="8" t="s">
        <v>21</v>
      </c>
      <c r="L120" s="8" t="s">
        <v>21</v>
      </c>
      <c r="M120" s="12" t="s">
        <v>110</v>
      </c>
      <c r="N120" s="5" t="s">
        <v>40</v>
      </c>
      <c r="O120" s="5" t="s">
        <v>418</v>
      </c>
    </row>
    <row r="121" ht="46.5" customHeight="1" spans="1:15" x14ac:dyDescent="0.25">
      <c r="A121" s="4" t="s">
        <v>419</v>
      </c>
      <c r="B121" s="5" t="s">
        <v>394</v>
      </c>
      <c r="C121" s="5" t="s">
        <v>395</v>
      </c>
      <c r="D121" s="6">
        <v>46058.625</v>
      </c>
      <c r="E121" s="7">
        <v>350</v>
      </c>
      <c r="F121" s="5" t="s">
        <v>420</v>
      </c>
      <c r="G121" s="8" t="s">
        <v>21</v>
      </c>
      <c r="H121" s="8" t="s">
        <v>21</v>
      </c>
      <c r="I121" s="8" t="s">
        <v>34</v>
      </c>
      <c r="J121" s="8" t="s">
        <v>23</v>
      </c>
      <c r="K121" s="8" t="s">
        <v>21</v>
      </c>
      <c r="L121" s="8" t="s">
        <v>21</v>
      </c>
      <c r="M121" s="9" t="s">
        <v>24</v>
      </c>
      <c r="N121" s="5" t="s">
        <v>421</v>
      </c>
      <c r="O121" s="5" t="s">
        <v>422</v>
      </c>
    </row>
    <row r="122" ht="30" customHeight="1" spans="1:15" x14ac:dyDescent="0.25">
      <c r="A122" s="4" t="s">
        <v>423</v>
      </c>
      <c r="B122" s="5" t="s">
        <v>394</v>
      </c>
      <c r="C122" s="5" t="s">
        <v>395</v>
      </c>
      <c r="D122" s="6">
        <v>46147.625</v>
      </c>
      <c r="E122" s="7">
        <v>258.63</v>
      </c>
      <c r="F122" s="5" t="s">
        <v>424</v>
      </c>
      <c r="G122" s="8" t="s">
        <v>21</v>
      </c>
      <c r="H122" s="8" t="s">
        <v>21</v>
      </c>
      <c r="I122" s="8" t="s">
        <v>21</v>
      </c>
      <c r="J122" s="8" t="s">
        <v>23</v>
      </c>
      <c r="K122" s="8" t="s">
        <v>21</v>
      </c>
      <c r="L122" s="8" t="s">
        <v>21</v>
      </c>
      <c r="M122" s="12" t="s">
        <v>110</v>
      </c>
      <c r="N122" s="5" t="s">
        <v>40</v>
      </c>
      <c r="O122" s="5" t="s">
        <v>425</v>
      </c>
    </row>
    <row r="123" ht="30" customHeight="1" spans="1:15" x14ac:dyDescent="0.25">
      <c r="A123" s="4" t="s">
        <v>426</v>
      </c>
      <c r="B123" s="5" t="s">
        <v>394</v>
      </c>
      <c r="C123" s="5" t="s">
        <v>395</v>
      </c>
      <c r="D123" s="6">
        <v>46153.625</v>
      </c>
      <c r="E123" s="7">
        <v>278.56</v>
      </c>
      <c r="F123" s="5" t="s">
        <v>427</v>
      </c>
      <c r="G123" s="8" t="s">
        <v>21</v>
      </c>
      <c r="H123" s="8" t="s">
        <v>21</v>
      </c>
      <c r="I123" s="8" t="s">
        <v>21</v>
      </c>
      <c r="J123" s="8" t="s">
        <v>23</v>
      </c>
      <c r="K123" s="8" t="s">
        <v>21</v>
      </c>
      <c r="L123" s="8" t="s">
        <v>21</v>
      </c>
      <c r="M123" s="12" t="s">
        <v>110</v>
      </c>
      <c r="N123" s="5" t="s">
        <v>40</v>
      </c>
      <c r="O123" s="5" t="s">
        <v>428</v>
      </c>
    </row>
    <row r="124" ht="33" customHeight="1" spans="1:15" x14ac:dyDescent="0.25">
      <c r="A124" s="4" t="s">
        <v>429</v>
      </c>
      <c r="B124" s="5" t="s">
        <v>394</v>
      </c>
      <c r="C124" s="5" t="s">
        <v>395</v>
      </c>
      <c r="D124" s="6">
        <v>46198.625</v>
      </c>
      <c r="E124" s="7">
        <v>2000</v>
      </c>
      <c r="F124" s="5" t="s">
        <v>430</v>
      </c>
      <c r="G124" s="8" t="s">
        <v>22</v>
      </c>
      <c r="H124" s="8" t="s">
        <v>22</v>
      </c>
      <c r="I124" s="8" t="s">
        <v>22</v>
      </c>
      <c r="J124" s="8" t="s">
        <v>23</v>
      </c>
      <c r="K124" s="8" t="s">
        <v>23</v>
      </c>
      <c r="L124" s="8" t="s">
        <v>21</v>
      </c>
      <c r="M124" s="10" t="s">
        <v>29</v>
      </c>
      <c r="N124" s="5" t="s">
        <v>431</v>
      </c>
      <c r="O124" s="5" t="s">
        <v>432</v>
      </c>
    </row>
    <row r="125" ht="33" customHeight="1" spans="1:15" x14ac:dyDescent="0.25">
      <c r="A125" s="4" t="s">
        <v>433</v>
      </c>
      <c r="B125" s="5" t="s">
        <v>394</v>
      </c>
      <c r="C125" s="5" t="s">
        <v>395</v>
      </c>
      <c r="D125" s="6">
        <v>46238.625</v>
      </c>
      <c r="E125" s="7">
        <v>197</v>
      </c>
      <c r="F125" s="5" t="s">
        <v>434</v>
      </c>
      <c r="G125" s="8" t="s">
        <v>22</v>
      </c>
      <c r="H125" s="8" t="s">
        <v>22</v>
      </c>
      <c r="I125" s="8" t="s">
        <v>22</v>
      </c>
      <c r="J125" s="8" t="s">
        <v>23</v>
      </c>
      <c r="K125" s="8" t="s">
        <v>23</v>
      </c>
      <c r="L125" s="8" t="s">
        <v>21</v>
      </c>
      <c r="M125" s="10" t="s">
        <v>29</v>
      </c>
      <c r="N125" s="5" t="s">
        <v>140</v>
      </c>
      <c r="O125" s="5" t="s">
        <v>435</v>
      </c>
    </row>
    <row r="126" ht="46.5" customHeight="1" spans="1:15" x14ac:dyDescent="0.25">
      <c r="A126" s="4" t="s">
        <v>436</v>
      </c>
      <c r="B126" s="5" t="s">
        <v>394</v>
      </c>
      <c r="C126" s="5" t="s">
        <v>395</v>
      </c>
      <c r="D126" s="6">
        <v>46245.625</v>
      </c>
      <c r="E126" s="7">
        <v>2000</v>
      </c>
      <c r="F126" s="5" t="s">
        <v>437</v>
      </c>
      <c r="G126" s="8" t="s">
        <v>22</v>
      </c>
      <c r="H126" s="8" t="s">
        <v>22</v>
      </c>
      <c r="I126" s="8" t="s">
        <v>22</v>
      </c>
      <c r="J126" s="8" t="s">
        <v>23</v>
      </c>
      <c r="K126" s="8" t="s">
        <v>23</v>
      </c>
      <c r="L126" s="8" t="s">
        <v>21</v>
      </c>
      <c r="M126" s="10" t="s">
        <v>29</v>
      </c>
      <c r="N126" s="5" t="s">
        <v>438</v>
      </c>
      <c r="O126" s="5" t="s">
        <v>439</v>
      </c>
    </row>
    <row r="127" ht="33" customHeight="1" spans="1:15" x14ac:dyDescent="0.25">
      <c r="A127" s="4" t="s">
        <v>440</v>
      </c>
      <c r="B127" s="5" t="s">
        <v>394</v>
      </c>
      <c r="C127" s="5" t="s">
        <v>395</v>
      </c>
      <c r="D127" s="6">
        <v>46249.625</v>
      </c>
      <c r="E127" s="7">
        <v>192.04</v>
      </c>
      <c r="F127" s="5" t="s">
        <v>441</v>
      </c>
      <c r="G127" s="8" t="s">
        <v>22</v>
      </c>
      <c r="H127" s="8" t="s">
        <v>22</v>
      </c>
      <c r="I127" s="8" t="s">
        <v>34</v>
      </c>
      <c r="J127" s="8" t="s">
        <v>23</v>
      </c>
      <c r="K127" s="8" t="s">
        <v>23</v>
      </c>
      <c r="L127" s="8" t="s">
        <v>21</v>
      </c>
      <c r="M127" s="10" t="s">
        <v>29</v>
      </c>
      <c r="N127" s="5" t="s">
        <v>442</v>
      </c>
      <c r="O127" s="5" t="s">
        <v>443</v>
      </c>
    </row>
    <row r="128" ht="33" customHeight="1" spans="1:15" x14ac:dyDescent="0.25">
      <c r="A128" s="4" t="s">
        <v>444</v>
      </c>
      <c r="B128" s="5" t="s">
        <v>394</v>
      </c>
      <c r="C128" s="5" t="s">
        <v>395</v>
      </c>
      <c r="D128" s="6">
        <v>46253.625</v>
      </c>
      <c r="E128" s="7">
        <v>307.93</v>
      </c>
      <c r="F128" s="5" t="s">
        <v>445</v>
      </c>
      <c r="G128" s="8" t="s">
        <v>21</v>
      </c>
      <c r="H128" s="8" t="s">
        <v>21</v>
      </c>
      <c r="I128" s="8" t="s">
        <v>21</v>
      </c>
      <c r="J128" s="8" t="s">
        <v>23</v>
      </c>
      <c r="K128" s="8" t="s">
        <v>21</v>
      </c>
      <c r="L128" s="8" t="s">
        <v>21</v>
      </c>
      <c r="M128" s="9" t="s">
        <v>24</v>
      </c>
      <c r="N128" s="5" t="s">
        <v>446</v>
      </c>
      <c r="O128" s="5" t="s">
        <v>447</v>
      </c>
    </row>
    <row r="129" ht="30" customHeight="1" spans="1:15" x14ac:dyDescent="0.25">
      <c r="A129" s="4" t="s">
        <v>448</v>
      </c>
      <c r="B129" s="5" t="s">
        <v>394</v>
      </c>
      <c r="C129" s="5" t="s">
        <v>395</v>
      </c>
      <c r="D129" s="6">
        <v>46253.625</v>
      </c>
      <c r="E129" s="7">
        <v>322.42</v>
      </c>
      <c r="F129" s="5" t="s">
        <v>449</v>
      </c>
      <c r="G129" s="8" t="s">
        <v>21</v>
      </c>
      <c r="H129" s="8" t="s">
        <v>21</v>
      </c>
      <c r="I129" s="8" t="s">
        <v>21</v>
      </c>
      <c r="J129" s="8" t="s">
        <v>23</v>
      </c>
      <c r="K129" s="8" t="s">
        <v>21</v>
      </c>
      <c r="L129" s="8" t="s">
        <v>21</v>
      </c>
      <c r="M129" s="9" t="s">
        <v>24</v>
      </c>
      <c r="N129" s="5" t="s">
        <v>40</v>
      </c>
      <c r="O129" s="5" t="s">
        <v>450</v>
      </c>
    </row>
    <row r="130" ht="33" customHeight="1" spans="1:15" x14ac:dyDescent="0.25">
      <c r="A130" s="4" t="s">
        <v>451</v>
      </c>
      <c r="B130" s="5" t="s">
        <v>394</v>
      </c>
      <c r="C130" s="5" t="s">
        <v>395</v>
      </c>
      <c r="D130" s="6">
        <v>46265.625</v>
      </c>
      <c r="E130" s="7">
        <v>2000</v>
      </c>
      <c r="F130" s="5" t="s">
        <v>452</v>
      </c>
      <c r="G130" s="8" t="s">
        <v>22</v>
      </c>
      <c r="H130" s="8" t="s">
        <v>22</v>
      </c>
      <c r="I130" s="8" t="s">
        <v>22</v>
      </c>
      <c r="J130" s="8" t="s">
        <v>23</v>
      </c>
      <c r="K130" s="8" t="s">
        <v>23</v>
      </c>
      <c r="L130" s="8" t="s">
        <v>21</v>
      </c>
      <c r="M130" s="10" t="s">
        <v>29</v>
      </c>
      <c r="N130" s="5" t="s">
        <v>453</v>
      </c>
      <c r="O130" s="5" t="s">
        <v>454</v>
      </c>
    </row>
    <row r="131" ht="33" customHeight="1" spans="1:15" x14ac:dyDescent="0.25">
      <c r="A131" s="4" t="s">
        <v>455</v>
      </c>
      <c r="B131" s="5" t="s">
        <v>394</v>
      </c>
      <c r="C131" s="5" t="s">
        <v>395</v>
      </c>
      <c r="D131" s="6">
        <v>46265.625</v>
      </c>
      <c r="E131" s="7">
        <v>2200</v>
      </c>
      <c r="F131" s="5" t="s">
        <v>456</v>
      </c>
      <c r="G131" s="8" t="s">
        <v>22</v>
      </c>
      <c r="H131" s="8" t="s">
        <v>22</v>
      </c>
      <c r="I131" s="8" t="s">
        <v>22</v>
      </c>
      <c r="J131" s="8" t="s">
        <v>23</v>
      </c>
      <c r="K131" s="8" t="s">
        <v>23</v>
      </c>
      <c r="L131" s="8" t="s">
        <v>21</v>
      </c>
      <c r="M131" s="10" t="s">
        <v>29</v>
      </c>
      <c r="N131" s="5" t="s">
        <v>457</v>
      </c>
      <c r="O131" s="5" t="s">
        <v>458</v>
      </c>
    </row>
    <row r="132" ht="60" customHeight="1" spans="1:15" x14ac:dyDescent="0.25">
      <c r="A132" s="4" t="s">
        <v>459</v>
      </c>
      <c r="B132" s="5" t="s">
        <v>460</v>
      </c>
      <c r="C132" s="5" t="s">
        <v>461</v>
      </c>
      <c r="D132" s="6">
        <v>45716.625</v>
      </c>
      <c r="E132" s="7">
        <v>540.04</v>
      </c>
      <c r="F132" s="5" t="s">
        <v>462</v>
      </c>
      <c r="G132" s="8" t="s">
        <v>22</v>
      </c>
      <c r="H132" s="8" t="s">
        <v>23</v>
      </c>
      <c r="I132" s="8" t="s">
        <v>22</v>
      </c>
      <c r="J132" s="8" t="s">
        <v>23</v>
      </c>
      <c r="K132" s="8" t="s">
        <v>21</v>
      </c>
      <c r="L132" s="8" t="s">
        <v>21</v>
      </c>
      <c r="M132" s="13" t="s">
        <v>129</v>
      </c>
      <c r="N132" s="5" t="s">
        <v>463</v>
      </c>
      <c r="O132" s="5" t="s">
        <v>464</v>
      </c>
    </row>
    <row r="133" ht="33" customHeight="1" spans="1:15" x14ac:dyDescent="0.25">
      <c r="A133" s="4" t="s">
        <v>465</v>
      </c>
      <c r="B133" s="5" t="s">
        <v>460</v>
      </c>
      <c r="C133" s="5" t="s">
        <v>461</v>
      </c>
      <c r="D133" s="6">
        <v>46081.625</v>
      </c>
      <c r="E133" s="7">
        <v>20</v>
      </c>
      <c r="F133" s="5" t="s">
        <v>466</v>
      </c>
      <c r="G133" s="8" t="s">
        <v>22</v>
      </c>
      <c r="H133" s="8" t="s">
        <v>23</v>
      </c>
      <c r="I133" s="8" t="s">
        <v>22</v>
      </c>
      <c r="J133" s="8" t="s">
        <v>23</v>
      </c>
      <c r="K133" s="8" t="s">
        <v>21</v>
      </c>
      <c r="L133" s="8" t="s">
        <v>21</v>
      </c>
      <c r="M133" s="13" t="s">
        <v>129</v>
      </c>
      <c r="N133" s="5" t="s">
        <v>467</v>
      </c>
      <c r="O133" s="5" t="s">
        <v>468</v>
      </c>
    </row>
    <row r="134" ht="46.5" customHeight="1" spans="1:15" x14ac:dyDescent="0.25">
      <c r="A134" s="4" t="s">
        <v>469</v>
      </c>
      <c r="B134" s="5" t="s">
        <v>460</v>
      </c>
      <c r="C134" s="5" t="s">
        <v>461</v>
      </c>
      <c r="D134" s="6">
        <v>46112.625</v>
      </c>
      <c r="E134" s="7">
        <v>373.72</v>
      </c>
      <c r="F134" s="5" t="s">
        <v>470</v>
      </c>
      <c r="G134" s="8" t="s">
        <v>34</v>
      </c>
      <c r="H134" s="8" t="s">
        <v>23</v>
      </c>
      <c r="I134" s="8" t="s">
        <v>22</v>
      </c>
      <c r="J134" s="8" t="s">
        <v>23</v>
      </c>
      <c r="K134" s="8" t="s">
        <v>21</v>
      </c>
      <c r="L134" s="8" t="s">
        <v>21</v>
      </c>
      <c r="M134" s="11" t="s">
        <v>35</v>
      </c>
      <c r="N134" s="5" t="s">
        <v>471</v>
      </c>
      <c r="O134" s="5" t="s">
        <v>472</v>
      </c>
    </row>
    <row r="135" ht="46.5" customHeight="1" spans="1:15" x14ac:dyDescent="0.25">
      <c r="A135" s="4" t="s">
        <v>473</v>
      </c>
      <c r="B135" s="5" t="s">
        <v>460</v>
      </c>
      <c r="C135" s="5" t="s">
        <v>474</v>
      </c>
      <c r="D135" s="6">
        <v>46081.625</v>
      </c>
      <c r="E135" s="7">
        <v>1018</v>
      </c>
      <c r="F135" s="5" t="s">
        <v>475</v>
      </c>
      <c r="G135" s="8" t="s">
        <v>21</v>
      </c>
      <c r="H135" s="8" t="s">
        <v>23</v>
      </c>
      <c r="I135" s="8" t="s">
        <v>21</v>
      </c>
      <c r="J135" s="8" t="s">
        <v>23</v>
      </c>
      <c r="K135" s="8" t="s">
        <v>34</v>
      </c>
      <c r="L135" s="8" t="s">
        <v>21</v>
      </c>
      <c r="M135" s="12" t="s">
        <v>110</v>
      </c>
      <c r="N135" s="5" t="s">
        <v>40</v>
      </c>
      <c r="O135" s="5" t="s">
        <v>476</v>
      </c>
    </row>
    <row r="136" ht="33" customHeight="1" spans="1:15" x14ac:dyDescent="0.25">
      <c r="A136" s="4" t="s">
        <v>477</v>
      </c>
      <c r="B136" s="5" t="s">
        <v>460</v>
      </c>
      <c r="C136" s="5" t="s">
        <v>478</v>
      </c>
      <c r="D136" s="6">
        <v>46265.625</v>
      </c>
      <c r="E136" s="7"/>
      <c r="F136" s="5" t="s">
        <v>479</v>
      </c>
      <c r="G136" s="8" t="s">
        <v>22</v>
      </c>
      <c r="H136" s="8" t="s">
        <v>23</v>
      </c>
      <c r="I136" s="8" t="s">
        <v>22</v>
      </c>
      <c r="J136" s="8" t="s">
        <v>23</v>
      </c>
      <c r="K136" s="8" t="s">
        <v>23</v>
      </c>
      <c r="L136" s="8" t="s">
        <v>21</v>
      </c>
      <c r="M136" s="10" t="s">
        <v>29</v>
      </c>
      <c r="N136" s="5" t="s">
        <v>480</v>
      </c>
      <c r="O136" s="5" t="s">
        <v>481</v>
      </c>
    </row>
    <row r="137" ht="46.5" customHeight="1" spans="1:15" x14ac:dyDescent="0.25">
      <c r="A137" s="4" t="s">
        <v>482</v>
      </c>
      <c r="B137" s="5" t="s">
        <v>460</v>
      </c>
      <c r="C137" s="5" t="s">
        <v>483</v>
      </c>
      <c r="D137" s="6">
        <v>46265.625</v>
      </c>
      <c r="E137" s="7">
        <v>8312.71</v>
      </c>
      <c r="F137" s="5" t="s">
        <v>484</v>
      </c>
      <c r="G137" s="8" t="s">
        <v>34</v>
      </c>
      <c r="H137" s="8" t="s">
        <v>23</v>
      </c>
      <c r="I137" s="8" t="s">
        <v>22</v>
      </c>
      <c r="J137" s="8" t="s">
        <v>23</v>
      </c>
      <c r="K137" s="8" t="s">
        <v>21</v>
      </c>
      <c r="L137" s="8" t="s">
        <v>21</v>
      </c>
      <c r="M137" s="13" t="s">
        <v>129</v>
      </c>
      <c r="N137" s="5" t="s">
        <v>485</v>
      </c>
      <c r="O137" s="5" t="s">
        <v>486</v>
      </c>
    </row>
    <row r="138" ht="33" customHeight="1" spans="1:15" x14ac:dyDescent="0.25">
      <c r="A138" s="4" t="s">
        <v>487</v>
      </c>
      <c r="B138" s="5" t="s">
        <v>460</v>
      </c>
      <c r="C138" s="5" t="s">
        <v>488</v>
      </c>
      <c r="D138" s="6">
        <v>46265.625</v>
      </c>
      <c r="E138" s="7">
        <v>448.92</v>
      </c>
      <c r="F138" s="5" t="s">
        <v>489</v>
      </c>
      <c r="G138" s="8" t="s">
        <v>21</v>
      </c>
      <c r="H138" s="8" t="s">
        <v>23</v>
      </c>
      <c r="I138" s="8" t="s">
        <v>21</v>
      </c>
      <c r="J138" s="8" t="s">
        <v>23</v>
      </c>
      <c r="K138" s="8" t="s">
        <v>21</v>
      </c>
      <c r="L138" s="8" t="s">
        <v>21</v>
      </c>
      <c r="M138" s="9" t="s">
        <v>24</v>
      </c>
      <c r="N138" s="5" t="s">
        <v>40</v>
      </c>
      <c r="O138" s="5" t="s">
        <v>490</v>
      </c>
    </row>
  </sheetData>
  <autoFilter ref="A3:O138"/>
  <mergeCells count="2">
    <mergeCell ref="A1:O1"/>
    <mergeCell ref="A2:O2"/>
  </mergeCells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G21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6" customWidth="1"/>
    <col min="7" max="7" width="12" customWidth="1"/>
  </cols>
  <sheetData>
    <row r="1" spans="1:1" x14ac:dyDescent="0.25">
      <c r="A1" s="1" t="s">
        <v>491</v>
      </c>
    </row>
    <row r="3" ht="34" customHeight="1" spans="1:7" x14ac:dyDescent="0.25">
      <c r="A3" s="3" t="s">
        <v>3</v>
      </c>
      <c r="B3" s="3" t="s">
        <v>29</v>
      </c>
      <c r="C3" s="3" t="s">
        <v>35</v>
      </c>
      <c r="D3" s="3" t="s">
        <v>24</v>
      </c>
      <c r="E3" s="3" t="s">
        <v>110</v>
      </c>
      <c r="F3" s="3" t="s">
        <v>129</v>
      </c>
      <c r="G3" s="3" t="s">
        <v>492</v>
      </c>
    </row>
    <row r="4" spans="1:7" x14ac:dyDescent="0.25">
      <c r="A4" s="14" t="s">
        <v>18</v>
      </c>
      <c r="B4" s="15">
        <f>COUNTIFS(Pendências!$B$4:$B$138,$A4,Pendências!$M$4:$M$138,"Resolvida")</f>
      </c>
      <c r="C4" s="15">
        <f>COUNTIFS(Pendências!$B$4:$B$138,$A4,Pendências!$M$4:$M$138,"Parcialmente Resolvida")</f>
      </c>
      <c r="D4" s="15">
        <f>COUNTIFS(Pendências!$B$4:$B$138,$A4,Pendências!$M$4:$M$138,"Falta Documento")</f>
      </c>
      <c r="E4" s="15">
        <f>COUNTIFS(Pendências!$B$4:$B$138,$A4,Pendências!$M$4:$M$138,"Falta Decisão da Igreja")</f>
      </c>
      <c r="F4" s="15">
        <f>COUNTIFS(Pendências!$B$4:$B$138,$A4,Pendências!$M$4:$M$138,"Falta Resposta à Contabilidade")</f>
      </c>
      <c r="G4" s="15">
        <f>SUM(B4:F4)</f>
      </c>
    </row>
    <row r="5" spans="1:7" x14ac:dyDescent="0.25">
      <c r="A5" s="14" t="s">
        <v>114</v>
      </c>
      <c r="B5" s="15">
        <f>COUNTIFS(Pendências!$B$4:$B$138,$A5,Pendências!$M$4:$M$138,"Resolvida")</f>
      </c>
      <c r="C5" s="15">
        <f>COUNTIFS(Pendências!$B$4:$B$138,$A5,Pendências!$M$4:$M$138,"Parcialmente Resolvida")</f>
      </c>
      <c r="D5" s="15">
        <f>COUNTIFS(Pendências!$B$4:$B$138,$A5,Pendências!$M$4:$M$138,"Falta Documento")</f>
      </c>
      <c r="E5" s="15">
        <f>COUNTIFS(Pendências!$B$4:$B$138,$A5,Pendências!$M$4:$M$138,"Falta Decisão da Igreja")</f>
      </c>
      <c r="F5" s="15">
        <f>COUNTIFS(Pendências!$B$4:$B$138,$A5,Pendências!$M$4:$M$138,"Falta Resposta à Contabilidade")</f>
      </c>
      <c r="G5" s="15">
        <f>SUM(B5:F5)</f>
      </c>
    </row>
    <row r="6" spans="1:7" x14ac:dyDescent="0.25">
      <c r="A6" s="14" t="s">
        <v>211</v>
      </c>
      <c r="B6" s="15">
        <f>COUNTIFS(Pendências!$B$4:$B$138,$A6,Pendências!$M$4:$M$138,"Resolvida")</f>
      </c>
      <c r="C6" s="15">
        <f>COUNTIFS(Pendências!$B$4:$B$138,$A6,Pendências!$M$4:$M$138,"Parcialmente Resolvida")</f>
      </c>
      <c r="D6" s="15">
        <f>COUNTIFS(Pendências!$B$4:$B$138,$A6,Pendências!$M$4:$M$138,"Falta Documento")</f>
      </c>
      <c r="E6" s="15">
        <f>COUNTIFS(Pendências!$B$4:$B$138,$A6,Pendências!$M$4:$M$138,"Falta Decisão da Igreja")</f>
      </c>
      <c r="F6" s="15">
        <f>COUNTIFS(Pendências!$B$4:$B$138,$A6,Pendências!$M$4:$M$138,"Falta Resposta à Contabilidade")</f>
      </c>
      <c r="G6" s="15">
        <f>SUM(B6:F6)</f>
      </c>
    </row>
    <row r="7" spans="1:7" x14ac:dyDescent="0.25">
      <c r="A7" s="14" t="s">
        <v>217</v>
      </c>
      <c r="B7" s="15">
        <f>COUNTIFS(Pendências!$B$4:$B$138,$A7,Pendências!$M$4:$M$138,"Resolvida")</f>
      </c>
      <c r="C7" s="15">
        <f>COUNTIFS(Pendências!$B$4:$B$138,$A7,Pendências!$M$4:$M$138,"Parcialmente Resolvida")</f>
      </c>
      <c r="D7" s="15">
        <f>COUNTIFS(Pendências!$B$4:$B$138,$A7,Pendências!$M$4:$M$138,"Falta Documento")</f>
      </c>
      <c r="E7" s="15">
        <f>COUNTIFS(Pendências!$B$4:$B$138,$A7,Pendências!$M$4:$M$138,"Falta Decisão da Igreja")</f>
      </c>
      <c r="F7" s="15">
        <f>COUNTIFS(Pendências!$B$4:$B$138,$A7,Pendências!$M$4:$M$138,"Falta Resposta à Contabilidade")</f>
      </c>
      <c r="G7" s="15">
        <f>SUM(B7:F7)</f>
      </c>
    </row>
    <row r="8" spans="1:7" x14ac:dyDescent="0.25">
      <c r="A8" s="14" t="s">
        <v>299</v>
      </c>
      <c r="B8" s="15">
        <f>COUNTIFS(Pendências!$B$4:$B$138,$A8,Pendências!$M$4:$M$138,"Resolvida")</f>
      </c>
      <c r="C8" s="15">
        <f>COUNTIFS(Pendências!$B$4:$B$138,$A8,Pendências!$M$4:$M$138,"Parcialmente Resolvida")</f>
      </c>
      <c r="D8" s="15">
        <f>COUNTIFS(Pendências!$B$4:$B$138,$A8,Pendências!$M$4:$M$138,"Falta Documento")</f>
      </c>
      <c r="E8" s="15">
        <f>COUNTIFS(Pendências!$B$4:$B$138,$A8,Pendências!$M$4:$M$138,"Falta Decisão da Igreja")</f>
      </c>
      <c r="F8" s="15">
        <f>COUNTIFS(Pendências!$B$4:$B$138,$A8,Pendências!$M$4:$M$138,"Falta Resposta à Contabilidade")</f>
      </c>
      <c r="G8" s="15">
        <f>SUM(B8:F8)</f>
      </c>
    </row>
    <row r="9" spans="1:7" x14ac:dyDescent="0.25">
      <c r="A9" s="14" t="s">
        <v>394</v>
      </c>
      <c r="B9" s="15">
        <f>COUNTIFS(Pendências!$B$4:$B$138,$A9,Pendências!$M$4:$M$138,"Resolvida")</f>
      </c>
      <c r="C9" s="15">
        <f>COUNTIFS(Pendências!$B$4:$B$138,$A9,Pendências!$M$4:$M$138,"Parcialmente Resolvida")</f>
      </c>
      <c r="D9" s="15">
        <f>COUNTIFS(Pendências!$B$4:$B$138,$A9,Pendências!$M$4:$M$138,"Falta Documento")</f>
      </c>
      <c r="E9" s="15">
        <f>COUNTIFS(Pendências!$B$4:$B$138,$A9,Pendências!$M$4:$M$138,"Falta Decisão da Igreja")</f>
      </c>
      <c r="F9" s="15">
        <f>COUNTIFS(Pendências!$B$4:$B$138,$A9,Pendências!$M$4:$M$138,"Falta Resposta à Contabilidade")</f>
      </c>
      <c r="G9" s="15">
        <f>SUM(B9:F9)</f>
      </c>
    </row>
    <row r="10" spans="1:7" x14ac:dyDescent="0.25">
      <c r="A10" s="14" t="s">
        <v>460</v>
      </c>
      <c r="B10" s="15">
        <f>COUNTIFS(Pendências!$B$4:$B$138,$A10,Pendências!$M$4:$M$138,"Resolvida")</f>
      </c>
      <c r="C10" s="15">
        <f>COUNTIFS(Pendências!$B$4:$B$138,$A10,Pendências!$M$4:$M$138,"Parcialmente Resolvida")</f>
      </c>
      <c r="D10" s="15">
        <f>COUNTIFS(Pendências!$B$4:$B$138,$A10,Pendências!$M$4:$M$138,"Falta Documento")</f>
      </c>
      <c r="E10" s="15">
        <f>COUNTIFS(Pendências!$B$4:$B$138,$A10,Pendências!$M$4:$M$138,"Falta Decisão da Igreja")</f>
      </c>
      <c r="F10" s="15">
        <f>COUNTIFS(Pendências!$B$4:$B$138,$A10,Pendências!$M$4:$M$138,"Falta Resposta à Contabilidade")</f>
      </c>
      <c r="G10" s="15">
        <f>SUM(B10:F10)</f>
      </c>
    </row>
    <row r="11" spans="1:7" x14ac:dyDescent="0.25">
      <c r="A11" s="16" t="s">
        <v>492</v>
      </c>
      <c r="B11" s="17">
        <f>SUM(B4:B10)</f>
      </c>
      <c r="C11" s="17">
        <f>SUM(C4:C10)</f>
      </c>
      <c r="D11" s="17">
        <f>SUM(D4:D10)</f>
      </c>
      <c r="E11" s="17">
        <f>SUM(E4:E10)</f>
      </c>
      <c r="F11" s="17">
        <f>SUM(F4:F10)</f>
      </c>
      <c r="G11" s="17">
        <f>SUM(G4:G10)</f>
      </c>
    </row>
    <row r="12" spans="1:6" x14ac:dyDescent="0.25">
      <c r="A12" t="s">
        <v>493</v>
      </c>
      <c r="B12" s="18">
        <f>B11/$G$11</f>
      </c>
      <c r="C12" s="18">
        <f>C11/$G$11</f>
      </c>
      <c r="D12" s="18">
        <f>D11/$G$11</f>
      </c>
      <c r="E12" s="18">
        <f>E11/$G$11</f>
      </c>
      <c r="F12" s="18">
        <f>F11/$G$11</f>
      </c>
    </row>
    <row r="14" spans="1:1" x14ac:dyDescent="0.25">
      <c r="A14" s="19" t="s">
        <v>494</v>
      </c>
    </row>
    <row r="15" spans="1:2" x14ac:dyDescent="0.25">
      <c r="A15" s="20" t="s">
        <v>29</v>
      </c>
      <c r="B15" s="21">
        <f>SUMIFS(Pendências!$E$4:$E$138,Pendências!$M$4:$M$138,A15)</f>
      </c>
    </row>
    <row r="16" spans="1:2" x14ac:dyDescent="0.25">
      <c r="A16" s="22" t="s">
        <v>35</v>
      </c>
      <c r="B16" s="21">
        <f>SUMIFS(Pendências!$E$4:$E$138,Pendências!$M$4:$M$138,A16)</f>
      </c>
    </row>
    <row r="17" spans="1:2" x14ac:dyDescent="0.25">
      <c r="A17" s="23" t="s">
        <v>24</v>
      </c>
      <c r="B17" s="21">
        <f>SUMIFS(Pendências!$E$4:$E$138,Pendências!$M$4:$M$138,A17)</f>
      </c>
    </row>
    <row r="18" spans="1:2" x14ac:dyDescent="0.25">
      <c r="A18" s="24" t="s">
        <v>110</v>
      </c>
      <c r="B18" s="21">
        <f>SUMIFS(Pendências!$E$4:$E$138,Pendências!$M$4:$M$138,A18)</f>
      </c>
    </row>
    <row r="19" spans="1:2" x14ac:dyDescent="0.25">
      <c r="A19" s="25" t="s">
        <v>129</v>
      </c>
      <c r="B19" s="21">
        <f>SUMIFS(Pendências!$E$4:$E$138,Pendências!$M$4:$M$138,A19)</f>
      </c>
    </row>
    <row r="20" spans="1:7" x14ac:dyDescent="0.25">
      <c r="A20" s="26" t="s">
        <v>495</v>
      </c>
      <c r="B20" s="26"/>
      <c r="C20" s="26"/>
      <c r="D20" s="26"/>
      <c r="E20" s="26"/>
      <c r="F20" s="26"/>
      <c r="G20" s="26"/>
    </row>
    <row r="21" spans="1:7" x14ac:dyDescent="0.25">
      <c r="A21" s="26"/>
      <c r="B21" s="26"/>
      <c r="C21" s="26"/>
      <c r="D21" s="26"/>
      <c r="E21" s="26"/>
      <c r="F21" s="26"/>
      <c r="G21" s="26"/>
    </row>
  </sheetData>
  <mergeCells count="1">
    <mergeCell ref="A20:G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F4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6" customWidth="1"/>
    <col min="4" max="4" width="62" customWidth="1"/>
    <col min="5" max="5" width="70" customWidth="1"/>
    <col min="6" max="6" width="60" customWidth="1"/>
  </cols>
  <sheetData>
    <row r="1" spans="1:6" x14ac:dyDescent="0.25">
      <c r="A1" s="27" t="s">
        <v>496</v>
      </c>
      <c r="B1" s="27"/>
      <c r="C1" s="27"/>
      <c r="D1" s="27"/>
      <c r="E1" s="27"/>
      <c r="F1" s="27"/>
    </row>
    <row r="3" ht="30" customHeight="1" spans="1:6" x14ac:dyDescent="0.25">
      <c r="A3" s="28" t="s">
        <v>2</v>
      </c>
      <c r="B3" s="28" t="s">
        <v>3</v>
      </c>
      <c r="C3" s="28" t="s">
        <v>7</v>
      </c>
      <c r="D3" s="28" t="s">
        <v>497</v>
      </c>
      <c r="E3" s="28" t="s">
        <v>498</v>
      </c>
      <c r="F3" s="28" t="s">
        <v>499</v>
      </c>
    </row>
    <row r="4" ht="33" customHeight="1" spans="1:6" x14ac:dyDescent="0.25">
      <c r="A4" s="4" t="s">
        <v>27</v>
      </c>
      <c r="B4" s="5" t="s">
        <v>18</v>
      </c>
      <c r="C4" s="5" t="s">
        <v>28</v>
      </c>
      <c r="D4" s="5" t="s">
        <v>30</v>
      </c>
      <c r="E4" s="5" t="s">
        <v>500</v>
      </c>
      <c r="F4" s="5" t="s">
        <v>31</v>
      </c>
    </row>
    <row r="5" ht="33" customHeight="1" spans="1:6" x14ac:dyDescent="0.25">
      <c r="A5" s="4" t="s">
        <v>54</v>
      </c>
      <c r="B5" s="5" t="s">
        <v>18</v>
      </c>
      <c r="C5" s="5" t="s">
        <v>55</v>
      </c>
      <c r="D5" s="5" t="s">
        <v>56</v>
      </c>
      <c r="E5" s="5" t="s">
        <v>501</v>
      </c>
      <c r="F5" s="5" t="s">
        <v>57</v>
      </c>
    </row>
    <row r="6" ht="33" customHeight="1" spans="1:6" x14ac:dyDescent="0.25">
      <c r="A6" s="4" t="s">
        <v>58</v>
      </c>
      <c r="B6" s="5" t="s">
        <v>18</v>
      </c>
      <c r="C6" s="5" t="s">
        <v>55</v>
      </c>
      <c r="D6" s="5" t="s">
        <v>59</v>
      </c>
      <c r="E6" s="5" t="s">
        <v>502</v>
      </c>
      <c r="F6" s="5" t="s">
        <v>60</v>
      </c>
    </row>
    <row r="7" ht="46.5" customHeight="1" spans="1:6" x14ac:dyDescent="0.25">
      <c r="A7" s="4" t="s">
        <v>63</v>
      </c>
      <c r="B7" s="5" t="s">
        <v>18</v>
      </c>
      <c r="C7" s="5" t="s">
        <v>64</v>
      </c>
      <c r="D7" s="5" t="s">
        <v>65</v>
      </c>
      <c r="E7" s="5" t="s">
        <v>503</v>
      </c>
      <c r="F7" s="5" t="s">
        <v>66</v>
      </c>
    </row>
    <row r="8" ht="33" customHeight="1" spans="1:6" x14ac:dyDescent="0.25">
      <c r="A8" s="4" t="s">
        <v>79</v>
      </c>
      <c r="B8" s="5" t="s">
        <v>18</v>
      </c>
      <c r="C8" s="5" t="s">
        <v>80</v>
      </c>
      <c r="D8" s="5" t="s">
        <v>81</v>
      </c>
      <c r="E8" s="5" t="s">
        <v>504</v>
      </c>
      <c r="F8" s="5" t="s">
        <v>82</v>
      </c>
    </row>
    <row r="9" ht="30" customHeight="1" spans="1:6" x14ac:dyDescent="0.25">
      <c r="A9" s="4" t="s">
        <v>83</v>
      </c>
      <c r="B9" s="5" t="s">
        <v>18</v>
      </c>
      <c r="C9" s="5" t="s">
        <v>84</v>
      </c>
      <c r="D9" s="5" t="s">
        <v>85</v>
      </c>
      <c r="E9" s="5" t="s">
        <v>505</v>
      </c>
      <c r="F9" s="5" t="s">
        <v>86</v>
      </c>
    </row>
    <row r="10" ht="33" customHeight="1" spans="1:6" x14ac:dyDescent="0.25">
      <c r="A10" s="4" t="s">
        <v>104</v>
      </c>
      <c r="B10" s="5" t="s">
        <v>18</v>
      </c>
      <c r="C10" s="5" t="s">
        <v>105</v>
      </c>
      <c r="D10" s="5" t="s">
        <v>106</v>
      </c>
      <c r="E10" s="5" t="s">
        <v>506</v>
      </c>
      <c r="F10" s="5" t="s">
        <v>107</v>
      </c>
    </row>
    <row r="11" ht="46.5" customHeight="1" spans="1:6" x14ac:dyDescent="0.25">
      <c r="A11" s="4" t="s">
        <v>138</v>
      </c>
      <c r="B11" s="5" t="s">
        <v>114</v>
      </c>
      <c r="C11" s="5" t="s">
        <v>139</v>
      </c>
      <c r="D11" s="5" t="s">
        <v>140</v>
      </c>
      <c r="E11" s="5" t="s">
        <v>507</v>
      </c>
      <c r="F11" s="5" t="s">
        <v>141</v>
      </c>
    </row>
    <row r="12" ht="33" customHeight="1" spans="1:6" x14ac:dyDescent="0.25">
      <c r="A12" s="4" t="s">
        <v>165</v>
      </c>
      <c r="B12" s="5" t="s">
        <v>114</v>
      </c>
      <c r="C12" s="5" t="s">
        <v>162</v>
      </c>
      <c r="D12" s="5" t="s">
        <v>166</v>
      </c>
      <c r="E12" s="5" t="s">
        <v>508</v>
      </c>
      <c r="F12" s="5" t="s">
        <v>167</v>
      </c>
    </row>
    <row r="13" ht="46.5" customHeight="1" spans="1:6" x14ac:dyDescent="0.25">
      <c r="A13" s="4" t="s">
        <v>196</v>
      </c>
      <c r="B13" s="5" t="s">
        <v>114</v>
      </c>
      <c r="C13" s="5" t="s">
        <v>197</v>
      </c>
      <c r="D13" s="5" t="s">
        <v>198</v>
      </c>
      <c r="E13" s="5" t="s">
        <v>509</v>
      </c>
      <c r="F13" s="5" t="s">
        <v>199</v>
      </c>
    </row>
    <row r="14" ht="33" customHeight="1" spans="1:6" x14ac:dyDescent="0.25">
      <c r="A14" s="4" t="s">
        <v>200</v>
      </c>
      <c r="B14" s="5" t="s">
        <v>114</v>
      </c>
      <c r="C14" s="5" t="s">
        <v>201</v>
      </c>
      <c r="D14" s="5" t="s">
        <v>202</v>
      </c>
      <c r="E14" s="5" t="s">
        <v>510</v>
      </c>
      <c r="F14" s="5" t="s">
        <v>203</v>
      </c>
    </row>
    <row r="15" ht="33" customHeight="1" spans="1:6" x14ac:dyDescent="0.25">
      <c r="A15" s="4" t="s">
        <v>207</v>
      </c>
      <c r="B15" s="5" t="s">
        <v>114</v>
      </c>
      <c r="C15" s="5" t="s">
        <v>201</v>
      </c>
      <c r="D15" s="5" t="s">
        <v>208</v>
      </c>
      <c r="E15" s="5" t="s">
        <v>511</v>
      </c>
      <c r="F15" s="5" t="s">
        <v>209</v>
      </c>
    </row>
    <row r="16" ht="33" customHeight="1" spans="1:6" x14ac:dyDescent="0.25">
      <c r="A16" s="4" t="s">
        <v>232</v>
      </c>
      <c r="B16" s="5" t="s">
        <v>217</v>
      </c>
      <c r="C16" s="5" t="s">
        <v>233</v>
      </c>
      <c r="D16" s="5" t="s">
        <v>234</v>
      </c>
      <c r="E16" s="5" t="s">
        <v>512</v>
      </c>
      <c r="F16" s="5" t="s">
        <v>235</v>
      </c>
    </row>
    <row r="17" ht="33" customHeight="1" spans="1:6" x14ac:dyDescent="0.25">
      <c r="A17" s="4" t="s">
        <v>236</v>
      </c>
      <c r="B17" s="5" t="s">
        <v>217</v>
      </c>
      <c r="C17" s="5" t="s">
        <v>237</v>
      </c>
      <c r="D17" s="5" t="s">
        <v>238</v>
      </c>
      <c r="E17" s="5" t="s">
        <v>513</v>
      </c>
      <c r="F17" s="5" t="s">
        <v>239</v>
      </c>
    </row>
    <row r="18" ht="33" customHeight="1" spans="1:6" x14ac:dyDescent="0.25">
      <c r="A18" s="4" t="s">
        <v>247</v>
      </c>
      <c r="B18" s="5" t="s">
        <v>217</v>
      </c>
      <c r="C18" s="5" t="s">
        <v>248</v>
      </c>
      <c r="D18" s="5" t="s">
        <v>249</v>
      </c>
      <c r="E18" s="5" t="s">
        <v>514</v>
      </c>
      <c r="F18" s="5" t="s">
        <v>239</v>
      </c>
    </row>
    <row r="19" ht="33" customHeight="1" spans="1:6" x14ac:dyDescent="0.25">
      <c r="A19" s="4" t="s">
        <v>250</v>
      </c>
      <c r="B19" s="5" t="s">
        <v>217</v>
      </c>
      <c r="C19" s="5" t="s">
        <v>251</v>
      </c>
      <c r="D19" s="5" t="s">
        <v>252</v>
      </c>
      <c r="E19" s="5" t="s">
        <v>515</v>
      </c>
      <c r="F19" s="5" t="s">
        <v>253</v>
      </c>
    </row>
    <row r="20" ht="33" customHeight="1" spans="1:6" x14ac:dyDescent="0.25">
      <c r="A20" s="4" t="s">
        <v>254</v>
      </c>
      <c r="B20" s="5" t="s">
        <v>217</v>
      </c>
      <c r="C20" s="5" t="s">
        <v>255</v>
      </c>
      <c r="D20" s="5" t="s">
        <v>256</v>
      </c>
      <c r="E20" s="5" t="s">
        <v>516</v>
      </c>
      <c r="F20" s="5" t="s">
        <v>257</v>
      </c>
    </row>
    <row r="21" ht="33" customHeight="1" spans="1:6" x14ac:dyDescent="0.25">
      <c r="A21" s="4" t="s">
        <v>258</v>
      </c>
      <c r="B21" s="5" t="s">
        <v>217</v>
      </c>
      <c r="C21" s="5" t="s">
        <v>259</v>
      </c>
      <c r="D21" s="5" t="s">
        <v>260</v>
      </c>
      <c r="E21" s="5" t="s">
        <v>517</v>
      </c>
      <c r="F21" s="5" t="s">
        <v>257</v>
      </c>
    </row>
    <row r="22" ht="33" customHeight="1" spans="1:6" x14ac:dyDescent="0.25">
      <c r="A22" s="4" t="s">
        <v>261</v>
      </c>
      <c r="B22" s="5" t="s">
        <v>217</v>
      </c>
      <c r="C22" s="5" t="s">
        <v>262</v>
      </c>
      <c r="D22" s="5" t="s">
        <v>263</v>
      </c>
      <c r="E22" s="5" t="s">
        <v>518</v>
      </c>
      <c r="F22" s="5" t="s">
        <v>264</v>
      </c>
    </row>
    <row r="23" ht="33" customHeight="1" spans="1:6" x14ac:dyDescent="0.25">
      <c r="A23" s="4" t="s">
        <v>265</v>
      </c>
      <c r="B23" s="5" t="s">
        <v>217</v>
      </c>
      <c r="C23" s="5" t="s">
        <v>266</v>
      </c>
      <c r="D23" s="5" t="s">
        <v>267</v>
      </c>
      <c r="E23" s="5" t="s">
        <v>519</v>
      </c>
      <c r="F23" s="5" t="s">
        <v>257</v>
      </c>
    </row>
    <row r="24" ht="33" customHeight="1" spans="1:6" x14ac:dyDescent="0.25">
      <c r="A24" s="4" t="s">
        <v>268</v>
      </c>
      <c r="B24" s="5" t="s">
        <v>217</v>
      </c>
      <c r="C24" s="5" t="s">
        <v>269</v>
      </c>
      <c r="D24" s="5" t="s">
        <v>270</v>
      </c>
      <c r="E24" s="5" t="s">
        <v>520</v>
      </c>
      <c r="F24" s="5" t="s">
        <v>257</v>
      </c>
    </row>
    <row r="25" ht="33" customHeight="1" spans="1:6" x14ac:dyDescent="0.25">
      <c r="A25" s="4" t="s">
        <v>271</v>
      </c>
      <c r="B25" s="5" t="s">
        <v>217</v>
      </c>
      <c r="C25" s="5" t="s">
        <v>272</v>
      </c>
      <c r="D25" s="5" t="s">
        <v>273</v>
      </c>
      <c r="E25" s="5" t="s">
        <v>521</v>
      </c>
      <c r="F25" s="5" t="s">
        <v>239</v>
      </c>
    </row>
    <row r="26" ht="60" customHeight="1" spans="1:6" x14ac:dyDescent="0.25">
      <c r="A26" s="4" t="s">
        <v>280</v>
      </c>
      <c r="B26" s="5" t="s">
        <v>217</v>
      </c>
      <c r="C26" s="5" t="s">
        <v>281</v>
      </c>
      <c r="D26" s="5" t="s">
        <v>282</v>
      </c>
      <c r="E26" s="5" t="s">
        <v>522</v>
      </c>
      <c r="F26" s="5" t="s">
        <v>283</v>
      </c>
    </row>
    <row r="27" ht="33" customHeight="1" spans="1:6" x14ac:dyDescent="0.25">
      <c r="A27" s="4" t="s">
        <v>284</v>
      </c>
      <c r="B27" s="5" t="s">
        <v>217</v>
      </c>
      <c r="C27" s="5" t="s">
        <v>285</v>
      </c>
      <c r="D27" s="5" t="s">
        <v>286</v>
      </c>
      <c r="E27" s="5" t="s">
        <v>523</v>
      </c>
      <c r="F27" s="5" t="s">
        <v>287</v>
      </c>
    </row>
    <row r="28" ht="33" customHeight="1" spans="1:6" x14ac:dyDescent="0.25">
      <c r="A28" s="4" t="s">
        <v>291</v>
      </c>
      <c r="B28" s="5" t="s">
        <v>217</v>
      </c>
      <c r="C28" s="5" t="s">
        <v>292</v>
      </c>
      <c r="D28" s="5" t="s">
        <v>293</v>
      </c>
      <c r="E28" s="5" t="s">
        <v>524</v>
      </c>
      <c r="F28" s="5" t="s">
        <v>294</v>
      </c>
    </row>
    <row r="29" ht="46.5" customHeight="1" spans="1:6" x14ac:dyDescent="0.25">
      <c r="A29" s="4" t="s">
        <v>321</v>
      </c>
      <c r="B29" s="5" t="s">
        <v>299</v>
      </c>
      <c r="C29" s="5" t="s">
        <v>322</v>
      </c>
      <c r="D29" s="5" t="s">
        <v>323</v>
      </c>
      <c r="E29" s="5" t="s">
        <v>525</v>
      </c>
      <c r="F29" s="5" t="s">
        <v>324</v>
      </c>
    </row>
    <row r="30" ht="87" customHeight="1" spans="1:6" x14ac:dyDescent="0.25">
      <c r="A30" s="4" t="s">
        <v>331</v>
      </c>
      <c r="B30" s="5" t="s">
        <v>299</v>
      </c>
      <c r="C30" s="5" t="s">
        <v>332</v>
      </c>
      <c r="D30" s="5" t="s">
        <v>333</v>
      </c>
      <c r="E30" s="5" t="s">
        <v>526</v>
      </c>
      <c r="F30" s="5" t="s">
        <v>334</v>
      </c>
    </row>
    <row r="31" ht="33" customHeight="1" spans="1:6" x14ac:dyDescent="0.25">
      <c r="A31" s="4" t="s">
        <v>335</v>
      </c>
      <c r="B31" s="5" t="s">
        <v>299</v>
      </c>
      <c r="C31" s="5" t="s">
        <v>336</v>
      </c>
      <c r="D31" s="5" t="s">
        <v>337</v>
      </c>
      <c r="E31" s="5" t="s">
        <v>527</v>
      </c>
      <c r="F31" s="5" t="s">
        <v>338</v>
      </c>
    </row>
    <row r="32" ht="33" customHeight="1" spans="1:6" x14ac:dyDescent="0.25">
      <c r="A32" s="4" t="s">
        <v>339</v>
      </c>
      <c r="B32" s="5" t="s">
        <v>299</v>
      </c>
      <c r="C32" s="5" t="s">
        <v>340</v>
      </c>
      <c r="D32" s="5" t="s">
        <v>341</v>
      </c>
      <c r="E32" s="5" t="s">
        <v>528</v>
      </c>
      <c r="F32" s="5" t="s">
        <v>342</v>
      </c>
    </row>
    <row r="33" ht="33" customHeight="1" spans="1:6" x14ac:dyDescent="0.25">
      <c r="A33" s="4" t="s">
        <v>361</v>
      </c>
      <c r="B33" s="5" t="s">
        <v>299</v>
      </c>
      <c r="C33" s="5" t="s">
        <v>362</v>
      </c>
      <c r="D33" s="5" t="s">
        <v>363</v>
      </c>
      <c r="E33" s="5" t="s">
        <v>529</v>
      </c>
      <c r="F33" s="5" t="s">
        <v>364</v>
      </c>
    </row>
    <row r="34" ht="33" customHeight="1" spans="1:6" x14ac:dyDescent="0.25">
      <c r="A34" s="4" t="s">
        <v>365</v>
      </c>
      <c r="B34" s="5" t="s">
        <v>299</v>
      </c>
      <c r="C34" s="5" t="s">
        <v>366</v>
      </c>
      <c r="D34" s="5" t="s">
        <v>367</v>
      </c>
      <c r="E34" s="5" t="s">
        <v>530</v>
      </c>
      <c r="F34" s="5" t="s">
        <v>368</v>
      </c>
    </row>
    <row r="35" ht="33" customHeight="1" spans="1:6" x14ac:dyDescent="0.25">
      <c r="A35" s="4" t="s">
        <v>369</v>
      </c>
      <c r="B35" s="5" t="s">
        <v>299</v>
      </c>
      <c r="C35" s="5" t="s">
        <v>370</v>
      </c>
      <c r="D35" s="5" t="s">
        <v>371</v>
      </c>
      <c r="E35" s="5" t="s">
        <v>531</v>
      </c>
      <c r="F35" s="5" t="s">
        <v>372</v>
      </c>
    </row>
    <row r="36" ht="33" customHeight="1" spans="1:6" x14ac:dyDescent="0.25">
      <c r="A36" s="4" t="s">
        <v>376</v>
      </c>
      <c r="B36" s="5" t="s">
        <v>299</v>
      </c>
      <c r="C36" s="5" t="s">
        <v>377</v>
      </c>
      <c r="D36" s="5" t="s">
        <v>378</v>
      </c>
      <c r="E36" s="5" t="s">
        <v>532</v>
      </c>
      <c r="F36" s="5" t="s">
        <v>379</v>
      </c>
    </row>
    <row r="37" ht="33" customHeight="1" spans="1:6" x14ac:dyDescent="0.25">
      <c r="A37" s="4" t="s">
        <v>380</v>
      </c>
      <c r="B37" s="5" t="s">
        <v>299</v>
      </c>
      <c r="C37" s="5" t="s">
        <v>381</v>
      </c>
      <c r="D37" s="5" t="s">
        <v>378</v>
      </c>
      <c r="E37" s="5" t="s">
        <v>532</v>
      </c>
      <c r="F37" s="5" t="s">
        <v>382</v>
      </c>
    </row>
    <row r="38" ht="33" customHeight="1" spans="1:6" x14ac:dyDescent="0.25">
      <c r="A38" s="4" t="s">
        <v>383</v>
      </c>
      <c r="B38" s="5" t="s">
        <v>299</v>
      </c>
      <c r="C38" s="5" t="s">
        <v>384</v>
      </c>
      <c r="D38" s="5" t="s">
        <v>371</v>
      </c>
      <c r="E38" s="5" t="s">
        <v>531</v>
      </c>
      <c r="F38" s="5" t="s">
        <v>385</v>
      </c>
    </row>
    <row r="39" ht="33" customHeight="1" spans="1:6" x14ac:dyDescent="0.25">
      <c r="A39" s="4" t="s">
        <v>390</v>
      </c>
      <c r="B39" s="5" t="s">
        <v>299</v>
      </c>
      <c r="C39" s="5" t="s">
        <v>391</v>
      </c>
      <c r="D39" s="5" t="s">
        <v>533</v>
      </c>
      <c r="E39" s="5" t="s">
        <v>534</v>
      </c>
      <c r="F39" s="5" t="s">
        <v>392</v>
      </c>
    </row>
    <row r="40" ht="46.5" customHeight="1" spans="1:6" x14ac:dyDescent="0.25">
      <c r="A40" s="4" t="s">
        <v>405</v>
      </c>
      <c r="B40" s="5" t="s">
        <v>394</v>
      </c>
      <c r="C40" s="5" t="s">
        <v>406</v>
      </c>
      <c r="D40" s="5" t="s">
        <v>407</v>
      </c>
      <c r="E40" s="5" t="s">
        <v>535</v>
      </c>
      <c r="F40" s="5" t="s">
        <v>408</v>
      </c>
    </row>
    <row r="41" ht="33" customHeight="1" spans="1:6" x14ac:dyDescent="0.25">
      <c r="A41" s="4" t="s">
        <v>412</v>
      </c>
      <c r="B41" s="5" t="s">
        <v>394</v>
      </c>
      <c r="C41" s="5" t="s">
        <v>413</v>
      </c>
      <c r="D41" s="5" t="s">
        <v>414</v>
      </c>
      <c r="E41" s="5" t="s">
        <v>536</v>
      </c>
      <c r="F41" s="5" t="s">
        <v>415</v>
      </c>
    </row>
    <row r="42" ht="33" customHeight="1" spans="1:6" x14ac:dyDescent="0.25">
      <c r="A42" s="4" t="s">
        <v>429</v>
      </c>
      <c r="B42" s="5" t="s">
        <v>394</v>
      </c>
      <c r="C42" s="5" t="s">
        <v>430</v>
      </c>
      <c r="D42" s="5" t="s">
        <v>431</v>
      </c>
      <c r="E42" s="5" t="s">
        <v>537</v>
      </c>
      <c r="F42" s="5" t="s">
        <v>432</v>
      </c>
    </row>
    <row r="43" ht="33" customHeight="1" spans="1:6" x14ac:dyDescent="0.25">
      <c r="A43" s="4" t="s">
        <v>433</v>
      </c>
      <c r="B43" s="5" t="s">
        <v>394</v>
      </c>
      <c r="C43" s="5" t="s">
        <v>434</v>
      </c>
      <c r="D43" s="5" t="s">
        <v>140</v>
      </c>
      <c r="E43" s="5" t="s">
        <v>507</v>
      </c>
      <c r="F43" s="5" t="s">
        <v>435</v>
      </c>
    </row>
    <row r="44" ht="46.5" customHeight="1" spans="1:6" x14ac:dyDescent="0.25">
      <c r="A44" s="4" t="s">
        <v>436</v>
      </c>
      <c r="B44" s="5" t="s">
        <v>394</v>
      </c>
      <c r="C44" s="5" t="s">
        <v>437</v>
      </c>
      <c r="D44" s="5" t="s">
        <v>438</v>
      </c>
      <c r="E44" s="5" t="s">
        <v>538</v>
      </c>
      <c r="F44" s="5" t="s">
        <v>439</v>
      </c>
    </row>
    <row r="45" ht="33" customHeight="1" spans="1:6" x14ac:dyDescent="0.25">
      <c r="A45" s="4" t="s">
        <v>440</v>
      </c>
      <c r="B45" s="5" t="s">
        <v>394</v>
      </c>
      <c r="C45" s="5" t="s">
        <v>441</v>
      </c>
      <c r="D45" s="5" t="s">
        <v>442</v>
      </c>
      <c r="E45" s="5" t="s">
        <v>539</v>
      </c>
      <c r="F45" s="5" t="s">
        <v>443</v>
      </c>
    </row>
    <row r="46" ht="33" customHeight="1" spans="1:6" x14ac:dyDescent="0.25">
      <c r="A46" s="4" t="s">
        <v>451</v>
      </c>
      <c r="B46" s="5" t="s">
        <v>394</v>
      </c>
      <c r="C46" s="5" t="s">
        <v>452</v>
      </c>
      <c r="D46" s="5" t="s">
        <v>453</v>
      </c>
      <c r="E46" s="5" t="s">
        <v>540</v>
      </c>
      <c r="F46" s="5" t="s">
        <v>454</v>
      </c>
    </row>
    <row r="47" ht="33" customHeight="1" spans="1:6" x14ac:dyDescent="0.25">
      <c r="A47" s="4" t="s">
        <v>455</v>
      </c>
      <c r="B47" s="5" t="s">
        <v>394</v>
      </c>
      <c r="C47" s="5" t="s">
        <v>456</v>
      </c>
      <c r="D47" s="5" t="s">
        <v>457</v>
      </c>
      <c r="E47" s="5" t="s">
        <v>541</v>
      </c>
      <c r="F47" s="5" t="s">
        <v>458</v>
      </c>
    </row>
    <row r="48" ht="33" customHeight="1" spans="1:6" x14ac:dyDescent="0.25">
      <c r="A48" s="4" t="s">
        <v>477</v>
      </c>
      <c r="B48" s="5" t="s">
        <v>460</v>
      </c>
      <c r="C48" s="5" t="s">
        <v>479</v>
      </c>
      <c r="D48" s="5" t="s">
        <v>480</v>
      </c>
      <c r="E48" s="5" t="s">
        <v>542</v>
      </c>
      <c r="F48" s="5" t="s">
        <v>481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A1B9A"/>
  </sheetPr>
  <dimension ref="A1:E3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6" customWidth="1"/>
    <col min="4" max="4" width="12" customWidth="1"/>
    <col min="5" max="5" width="90" customWidth="1"/>
  </cols>
  <sheetData>
    <row r="1" spans="1:5" x14ac:dyDescent="0.25">
      <c r="A1" s="27" t="s">
        <v>543</v>
      </c>
      <c r="B1" s="27"/>
      <c r="C1" s="27"/>
      <c r="D1" s="27"/>
      <c r="E1" s="27"/>
    </row>
    <row r="3" ht="30" customHeight="1" spans="1:5" x14ac:dyDescent="0.25">
      <c r="A3" s="28" t="s">
        <v>2</v>
      </c>
      <c r="B3" s="28" t="s">
        <v>3</v>
      </c>
      <c r="C3" s="28" t="s">
        <v>7</v>
      </c>
      <c r="D3" s="28" t="s">
        <v>6</v>
      </c>
      <c r="E3" s="28" t="s">
        <v>544</v>
      </c>
    </row>
    <row r="4" ht="33" customHeight="1" spans="1:5" x14ac:dyDescent="0.25">
      <c r="A4" s="4" t="s">
        <v>108</v>
      </c>
      <c r="B4" s="5" t="s">
        <v>18</v>
      </c>
      <c r="C4" s="5" t="s">
        <v>109</v>
      </c>
      <c r="D4" s="7">
        <v>540</v>
      </c>
      <c r="E4" s="5" t="s">
        <v>112</v>
      </c>
    </row>
    <row r="5" ht="33" customHeight="1" spans="1:5" x14ac:dyDescent="0.25">
      <c r="A5" s="4" t="s">
        <v>113</v>
      </c>
      <c r="B5" s="5" t="s">
        <v>114</v>
      </c>
      <c r="C5" s="5" t="s">
        <v>116</v>
      </c>
      <c r="D5" s="7">
        <v>75</v>
      </c>
      <c r="E5" s="5" t="s">
        <v>117</v>
      </c>
    </row>
    <row r="6" ht="46.5" customHeight="1" spans="1:5" x14ac:dyDescent="0.25">
      <c r="A6" s="4" t="s">
        <v>118</v>
      </c>
      <c r="B6" s="5" t="s">
        <v>114</v>
      </c>
      <c r="C6" s="5" t="s">
        <v>119</v>
      </c>
      <c r="D6" s="7">
        <v>1253.79</v>
      </c>
      <c r="E6" s="5" t="s">
        <v>120</v>
      </c>
    </row>
    <row r="7" ht="33" customHeight="1" spans="1:5" x14ac:dyDescent="0.25">
      <c r="A7" s="4" t="s">
        <v>121</v>
      </c>
      <c r="B7" s="5" t="s">
        <v>114</v>
      </c>
      <c r="C7" s="5" t="s">
        <v>122</v>
      </c>
      <c r="D7" s="7">
        <v>280</v>
      </c>
      <c r="E7" s="5" t="s">
        <v>123</v>
      </c>
    </row>
    <row r="8" ht="46.5" customHeight="1" spans="1:5" x14ac:dyDescent="0.25">
      <c r="A8" s="4" t="s">
        <v>124</v>
      </c>
      <c r="B8" s="5" t="s">
        <v>114</v>
      </c>
      <c r="C8" s="5" t="s">
        <v>125</v>
      </c>
      <c r="D8" s="7">
        <v>10000</v>
      </c>
      <c r="E8" s="5" t="s">
        <v>126</v>
      </c>
    </row>
    <row r="9" ht="33" customHeight="1" spans="1:5" x14ac:dyDescent="0.25">
      <c r="A9" s="4" t="s">
        <v>135</v>
      </c>
      <c r="B9" s="5" t="s">
        <v>114</v>
      </c>
      <c r="C9" s="5" t="s">
        <v>122</v>
      </c>
      <c r="D9" s="7">
        <v>200</v>
      </c>
      <c r="E9" s="5" t="s">
        <v>123</v>
      </c>
    </row>
    <row r="10" ht="30" customHeight="1" spans="1:5" x14ac:dyDescent="0.25">
      <c r="A10" s="4" t="s">
        <v>136</v>
      </c>
      <c r="B10" s="5" t="s">
        <v>114</v>
      </c>
      <c r="C10" s="5" t="s">
        <v>125</v>
      </c>
      <c r="D10" s="7">
        <v>1200</v>
      </c>
      <c r="E10" s="5" t="s">
        <v>137</v>
      </c>
    </row>
    <row r="11" ht="33" customHeight="1" spans="1:5" x14ac:dyDescent="0.25">
      <c r="A11" s="4" t="s">
        <v>142</v>
      </c>
      <c r="B11" s="5" t="s">
        <v>114</v>
      </c>
      <c r="C11" s="5" t="s">
        <v>143</v>
      </c>
      <c r="D11" s="7">
        <v>1</v>
      </c>
      <c r="E11" s="5" t="s">
        <v>144</v>
      </c>
    </row>
    <row r="12" ht="30" customHeight="1" spans="1:5" x14ac:dyDescent="0.25">
      <c r="A12" s="4" t="s">
        <v>145</v>
      </c>
      <c r="B12" s="5" t="s">
        <v>114</v>
      </c>
      <c r="C12" s="5" t="s">
        <v>146</v>
      </c>
      <c r="D12" s="7">
        <v>3362</v>
      </c>
      <c r="E12" s="5" t="s">
        <v>147</v>
      </c>
    </row>
    <row r="13" ht="33" customHeight="1" spans="1:5" x14ac:dyDescent="0.25">
      <c r="A13" s="4" t="s">
        <v>153</v>
      </c>
      <c r="B13" s="5" t="s">
        <v>114</v>
      </c>
      <c r="C13" s="5" t="s">
        <v>154</v>
      </c>
      <c r="D13" s="7">
        <v>1</v>
      </c>
      <c r="E13" s="5" t="s">
        <v>155</v>
      </c>
    </row>
    <row r="14" ht="60" customHeight="1" spans="1:5" x14ac:dyDescent="0.25">
      <c r="A14" s="4" t="s">
        <v>156</v>
      </c>
      <c r="B14" s="5" t="s">
        <v>114</v>
      </c>
      <c r="C14" s="5" t="s">
        <v>158</v>
      </c>
      <c r="D14" s="7">
        <v>221.4</v>
      </c>
      <c r="E14" s="5" t="s">
        <v>159</v>
      </c>
    </row>
    <row r="15" ht="33" customHeight="1" spans="1:5" x14ac:dyDescent="0.25">
      <c r="A15" s="4" t="s">
        <v>178</v>
      </c>
      <c r="B15" s="5" t="s">
        <v>114</v>
      </c>
      <c r="C15" s="5" t="s">
        <v>179</v>
      </c>
      <c r="D15" s="7">
        <v>99.89</v>
      </c>
      <c r="E15" s="5" t="s">
        <v>181</v>
      </c>
    </row>
    <row r="16" ht="33" customHeight="1" spans="1:5" x14ac:dyDescent="0.25">
      <c r="A16" s="4" t="s">
        <v>298</v>
      </c>
      <c r="B16" s="5" t="s">
        <v>299</v>
      </c>
      <c r="C16" s="5" t="s">
        <v>301</v>
      </c>
      <c r="D16" s="7">
        <v>125.88</v>
      </c>
      <c r="E16" s="5" t="s">
        <v>302</v>
      </c>
    </row>
    <row r="17" ht="30" customHeight="1" spans="1:5" x14ac:dyDescent="0.25">
      <c r="A17" s="4" t="s">
        <v>303</v>
      </c>
      <c r="B17" s="5" t="s">
        <v>299</v>
      </c>
      <c r="C17" s="5" t="s">
        <v>304</v>
      </c>
      <c r="D17" s="7">
        <v>84.2</v>
      </c>
      <c r="E17" s="5" t="s">
        <v>305</v>
      </c>
    </row>
    <row r="18" ht="30" customHeight="1" spans="1:5" x14ac:dyDescent="0.25">
      <c r="A18" s="4" t="s">
        <v>306</v>
      </c>
      <c r="B18" s="5" t="s">
        <v>299</v>
      </c>
      <c r="C18" s="5" t="s">
        <v>307</v>
      </c>
      <c r="D18" s="7">
        <v>25</v>
      </c>
      <c r="E18" s="5" t="s">
        <v>308</v>
      </c>
    </row>
    <row r="19" ht="30" customHeight="1" spans="1:5" x14ac:dyDescent="0.25">
      <c r="A19" s="4" t="s">
        <v>309</v>
      </c>
      <c r="B19" s="5" t="s">
        <v>299</v>
      </c>
      <c r="C19" s="5" t="s">
        <v>310</v>
      </c>
      <c r="D19" s="7">
        <v>25.98</v>
      </c>
      <c r="E19" s="5" t="s">
        <v>311</v>
      </c>
    </row>
    <row r="20" ht="30" customHeight="1" spans="1:5" x14ac:dyDescent="0.25">
      <c r="A20" s="4" t="s">
        <v>312</v>
      </c>
      <c r="B20" s="5" t="s">
        <v>299</v>
      </c>
      <c r="C20" s="5" t="s">
        <v>313</v>
      </c>
      <c r="D20" s="7">
        <v>112.22</v>
      </c>
      <c r="E20" s="5" t="s">
        <v>314</v>
      </c>
    </row>
    <row r="21" ht="30" customHeight="1" spans="1:5" x14ac:dyDescent="0.25">
      <c r="A21" s="4" t="s">
        <v>315</v>
      </c>
      <c r="B21" s="5" t="s">
        <v>299</v>
      </c>
      <c r="C21" s="5" t="s">
        <v>316</v>
      </c>
      <c r="D21" s="7">
        <v>143</v>
      </c>
      <c r="E21" s="5" t="s">
        <v>317</v>
      </c>
    </row>
    <row r="22" ht="30" customHeight="1" spans="1:5" x14ac:dyDescent="0.25">
      <c r="A22" s="4" t="s">
        <v>318</v>
      </c>
      <c r="B22" s="5" t="s">
        <v>299</v>
      </c>
      <c r="C22" s="5" t="s">
        <v>319</v>
      </c>
      <c r="D22" s="7">
        <v>104.4</v>
      </c>
      <c r="E22" s="5" t="s">
        <v>320</v>
      </c>
    </row>
    <row r="23" ht="30" customHeight="1" spans="1:5" x14ac:dyDescent="0.25">
      <c r="A23" s="4" t="s">
        <v>325</v>
      </c>
      <c r="B23" s="5" t="s">
        <v>299</v>
      </c>
      <c r="C23" s="5" t="s">
        <v>326</v>
      </c>
      <c r="D23" s="7">
        <v>149.38</v>
      </c>
      <c r="E23" s="5" t="s">
        <v>327</v>
      </c>
    </row>
    <row r="24" ht="30" customHeight="1" spans="1:5" x14ac:dyDescent="0.25">
      <c r="A24" s="4" t="s">
        <v>328</v>
      </c>
      <c r="B24" s="5" t="s">
        <v>299</v>
      </c>
      <c r="C24" s="5" t="s">
        <v>329</v>
      </c>
      <c r="D24" s="7">
        <v>443.95</v>
      </c>
      <c r="E24" s="5" t="s">
        <v>330</v>
      </c>
    </row>
    <row r="25" ht="30" customHeight="1" spans="1:5" x14ac:dyDescent="0.25">
      <c r="A25" s="4" t="s">
        <v>347</v>
      </c>
      <c r="B25" s="5" t="s">
        <v>299</v>
      </c>
      <c r="C25" s="5" t="s">
        <v>348</v>
      </c>
      <c r="D25" s="7">
        <v>28.43</v>
      </c>
      <c r="E25" s="5" t="s">
        <v>349</v>
      </c>
    </row>
    <row r="26" ht="30" customHeight="1" spans="1:5" x14ac:dyDescent="0.25">
      <c r="A26" s="4" t="s">
        <v>409</v>
      </c>
      <c r="B26" s="5" t="s">
        <v>394</v>
      </c>
      <c r="C26" s="5" t="s">
        <v>410</v>
      </c>
      <c r="D26" s="7">
        <v>161.3</v>
      </c>
      <c r="E26" s="5" t="s">
        <v>411</v>
      </c>
    </row>
    <row r="27" ht="30" customHeight="1" spans="1:5" x14ac:dyDescent="0.25">
      <c r="A27" s="4" t="s">
        <v>416</v>
      </c>
      <c r="B27" s="5" t="s">
        <v>394</v>
      </c>
      <c r="C27" s="5" t="s">
        <v>417</v>
      </c>
      <c r="D27" s="7">
        <v>50</v>
      </c>
      <c r="E27" s="5" t="s">
        <v>418</v>
      </c>
    </row>
    <row r="28" ht="30" customHeight="1" spans="1:5" x14ac:dyDescent="0.25">
      <c r="A28" s="4" t="s">
        <v>423</v>
      </c>
      <c r="B28" s="5" t="s">
        <v>394</v>
      </c>
      <c r="C28" s="5" t="s">
        <v>424</v>
      </c>
      <c r="D28" s="7">
        <v>258.63</v>
      </c>
      <c r="E28" s="5" t="s">
        <v>425</v>
      </c>
    </row>
    <row r="29" ht="30" customHeight="1" spans="1:5" x14ac:dyDescent="0.25">
      <c r="A29" s="4" t="s">
        <v>426</v>
      </c>
      <c r="B29" s="5" t="s">
        <v>394</v>
      </c>
      <c r="C29" s="5" t="s">
        <v>427</v>
      </c>
      <c r="D29" s="7">
        <v>278.56</v>
      </c>
      <c r="E29" s="5" t="s">
        <v>428</v>
      </c>
    </row>
    <row r="30" ht="46.5" customHeight="1" spans="1:5" x14ac:dyDescent="0.25">
      <c r="A30" s="4" t="s">
        <v>473</v>
      </c>
      <c r="B30" s="5" t="s">
        <v>460</v>
      </c>
      <c r="C30" s="5" t="s">
        <v>475</v>
      </c>
      <c r="D30" s="7">
        <v>1018</v>
      </c>
      <c r="E30" s="5" t="s">
        <v>476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62828"/>
  </sheetPr>
  <dimension ref="A1:E4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6" customWidth="1"/>
    <col min="4" max="4" width="12" customWidth="1"/>
    <col min="5" max="5" width="90" customWidth="1"/>
  </cols>
  <sheetData>
    <row r="1" spans="1:5" x14ac:dyDescent="0.25">
      <c r="A1" s="27" t="s">
        <v>545</v>
      </c>
      <c r="B1" s="27"/>
      <c r="C1" s="27"/>
      <c r="D1" s="27"/>
      <c r="E1" s="27"/>
    </row>
    <row r="3" ht="30" customHeight="1" spans="1:5" x14ac:dyDescent="0.25">
      <c r="A3" s="28" t="s">
        <v>2</v>
      </c>
      <c r="B3" s="28" t="s">
        <v>3</v>
      </c>
      <c r="C3" s="28" t="s">
        <v>7</v>
      </c>
      <c r="D3" s="28" t="s">
        <v>6</v>
      </c>
      <c r="E3" s="28" t="s">
        <v>546</v>
      </c>
    </row>
    <row r="4" ht="33" customHeight="1" spans="1:5" x14ac:dyDescent="0.25">
      <c r="A4" s="4" t="s">
        <v>17</v>
      </c>
      <c r="B4" s="5" t="s">
        <v>18</v>
      </c>
      <c r="C4" s="5" t="s">
        <v>20</v>
      </c>
      <c r="D4" s="7">
        <v>114.95</v>
      </c>
      <c r="E4" s="5" t="s">
        <v>26</v>
      </c>
    </row>
    <row r="5" ht="33" customHeight="1" spans="1:5" x14ac:dyDescent="0.25">
      <c r="A5" s="4" t="s">
        <v>38</v>
      </c>
      <c r="B5" s="5" t="s">
        <v>18</v>
      </c>
      <c r="C5" s="5" t="s">
        <v>39</v>
      </c>
      <c r="D5" s="7">
        <v>1541.4</v>
      </c>
      <c r="E5" s="5" t="s">
        <v>41</v>
      </c>
    </row>
    <row r="6" ht="33" customHeight="1" spans="1:5" x14ac:dyDescent="0.25">
      <c r="A6" s="4" t="s">
        <v>42</v>
      </c>
      <c r="B6" s="5" t="s">
        <v>18</v>
      </c>
      <c r="C6" s="5" t="s">
        <v>43</v>
      </c>
      <c r="D6" s="7">
        <v>400</v>
      </c>
      <c r="E6" s="5" t="s">
        <v>44</v>
      </c>
    </row>
    <row r="7" ht="30" customHeight="1" spans="1:5" x14ac:dyDescent="0.25">
      <c r="A7" s="4" t="s">
        <v>45</v>
      </c>
      <c r="B7" s="5" t="s">
        <v>18</v>
      </c>
      <c r="C7" s="5" t="s">
        <v>46</v>
      </c>
      <c r="D7" s="7">
        <v>400</v>
      </c>
      <c r="E7" s="5" t="s">
        <v>47</v>
      </c>
    </row>
    <row r="8" ht="30" customHeight="1" spans="1:5" x14ac:dyDescent="0.25">
      <c r="A8" s="4" t="s">
        <v>48</v>
      </c>
      <c r="B8" s="5" t="s">
        <v>18</v>
      </c>
      <c r="C8" s="5" t="s">
        <v>49</v>
      </c>
      <c r="D8" s="7">
        <v>232.5</v>
      </c>
      <c r="E8" s="5" t="s">
        <v>50</v>
      </c>
    </row>
    <row r="9" ht="33" customHeight="1" spans="1:5" x14ac:dyDescent="0.25">
      <c r="A9" s="4" t="s">
        <v>51</v>
      </c>
      <c r="B9" s="5" t="s">
        <v>18</v>
      </c>
      <c r="C9" s="5" t="s">
        <v>52</v>
      </c>
      <c r="D9" s="7">
        <v>1000</v>
      </c>
      <c r="E9" s="5" t="s">
        <v>53</v>
      </c>
    </row>
    <row r="10" ht="30" customHeight="1" spans="1:5" x14ac:dyDescent="0.25">
      <c r="A10" s="4" t="s">
        <v>61</v>
      </c>
      <c r="B10" s="5" t="s">
        <v>18</v>
      </c>
      <c r="C10" s="5" t="s">
        <v>52</v>
      </c>
      <c r="D10" s="7">
        <v>1000</v>
      </c>
      <c r="E10" s="5" t="s">
        <v>62</v>
      </c>
    </row>
    <row r="11" ht="33" customHeight="1" spans="1:5" x14ac:dyDescent="0.25">
      <c r="A11" s="4" t="s">
        <v>67</v>
      </c>
      <c r="B11" s="5" t="s">
        <v>18</v>
      </c>
      <c r="C11" s="5" t="s">
        <v>68</v>
      </c>
      <c r="D11" s="7">
        <v>35</v>
      </c>
      <c r="E11" s="5" t="s">
        <v>69</v>
      </c>
    </row>
    <row r="12" ht="46.5" customHeight="1" spans="1:5" x14ac:dyDescent="0.25">
      <c r="A12" s="4" t="s">
        <v>70</v>
      </c>
      <c r="B12" s="5" t="s">
        <v>18</v>
      </c>
      <c r="C12" s="5" t="s">
        <v>71</v>
      </c>
      <c r="D12" s="7">
        <v>15.9</v>
      </c>
      <c r="E12" s="5" t="s">
        <v>72</v>
      </c>
    </row>
    <row r="13" ht="30" customHeight="1" spans="1:5" x14ac:dyDescent="0.25">
      <c r="A13" s="4" t="s">
        <v>73</v>
      </c>
      <c r="B13" s="5" t="s">
        <v>18</v>
      </c>
      <c r="C13" s="5" t="s">
        <v>74</v>
      </c>
      <c r="D13" s="7">
        <v>295</v>
      </c>
      <c r="E13" s="5" t="s">
        <v>75</v>
      </c>
    </row>
    <row r="14" ht="33" customHeight="1" spans="1:5" x14ac:dyDescent="0.25">
      <c r="A14" s="4" t="s">
        <v>76</v>
      </c>
      <c r="B14" s="5" t="s">
        <v>18</v>
      </c>
      <c r="C14" s="5" t="s">
        <v>77</v>
      </c>
      <c r="D14" s="7">
        <v>25.74</v>
      </c>
      <c r="E14" s="5" t="s">
        <v>78</v>
      </c>
    </row>
    <row r="15" ht="33" customHeight="1" spans="1:5" x14ac:dyDescent="0.25">
      <c r="A15" s="4" t="s">
        <v>87</v>
      </c>
      <c r="B15" s="5" t="s">
        <v>18</v>
      </c>
      <c r="C15" s="5" t="s">
        <v>88</v>
      </c>
      <c r="D15" s="7">
        <v>60.84</v>
      </c>
      <c r="E15" s="5" t="s">
        <v>89</v>
      </c>
    </row>
    <row r="16" ht="30" customHeight="1" spans="1:5" x14ac:dyDescent="0.25">
      <c r="A16" s="4" t="s">
        <v>90</v>
      </c>
      <c r="B16" s="5" t="s">
        <v>18</v>
      </c>
      <c r="C16" s="5" t="s">
        <v>91</v>
      </c>
      <c r="D16" s="7">
        <v>41.42</v>
      </c>
      <c r="E16" s="5" t="s">
        <v>92</v>
      </c>
    </row>
    <row r="17" ht="33" customHeight="1" spans="1:5" x14ac:dyDescent="0.25">
      <c r="A17" s="4" t="s">
        <v>93</v>
      </c>
      <c r="B17" s="5" t="s">
        <v>18</v>
      </c>
      <c r="C17" s="5" t="s">
        <v>94</v>
      </c>
      <c r="D17" s="7">
        <v>25.2</v>
      </c>
      <c r="E17" s="5" t="s">
        <v>95</v>
      </c>
    </row>
    <row r="18" ht="33" customHeight="1" spans="1:5" x14ac:dyDescent="0.25">
      <c r="A18" s="4" t="s">
        <v>96</v>
      </c>
      <c r="B18" s="5" t="s">
        <v>18</v>
      </c>
      <c r="C18" s="5" t="s">
        <v>28</v>
      </c>
      <c r="D18" s="7">
        <v>2538.18</v>
      </c>
      <c r="E18" s="5" t="s">
        <v>97</v>
      </c>
    </row>
    <row r="19" ht="30" customHeight="1" spans="1:5" x14ac:dyDescent="0.25">
      <c r="A19" s="4" t="s">
        <v>98</v>
      </c>
      <c r="B19" s="5" t="s">
        <v>18</v>
      </c>
      <c r="C19" s="5" t="s">
        <v>28</v>
      </c>
      <c r="D19" s="7">
        <v>242.36</v>
      </c>
      <c r="E19" s="5" t="s">
        <v>99</v>
      </c>
    </row>
    <row r="20" ht="30" customHeight="1" spans="1:5" x14ac:dyDescent="0.25">
      <c r="A20" s="4" t="s">
        <v>100</v>
      </c>
      <c r="B20" s="5" t="s">
        <v>18</v>
      </c>
      <c r="C20" s="5" t="s">
        <v>28</v>
      </c>
      <c r="D20" s="7">
        <v>1379.86</v>
      </c>
      <c r="E20" s="5" t="s">
        <v>101</v>
      </c>
    </row>
    <row r="21" ht="30" customHeight="1" spans="1:5" x14ac:dyDescent="0.25">
      <c r="A21" s="4" t="s">
        <v>102</v>
      </c>
      <c r="B21" s="5" t="s">
        <v>18</v>
      </c>
      <c r="C21" s="5" t="s">
        <v>28</v>
      </c>
      <c r="D21" s="7">
        <v>303.2</v>
      </c>
      <c r="E21" s="5" t="s">
        <v>103</v>
      </c>
    </row>
    <row r="22" ht="30" customHeight="1" spans="1:5" x14ac:dyDescent="0.25">
      <c r="A22" s="4" t="s">
        <v>148</v>
      </c>
      <c r="B22" s="5" t="s">
        <v>114</v>
      </c>
      <c r="C22" s="5" t="s">
        <v>149</v>
      </c>
      <c r="D22" s="7">
        <v>300</v>
      </c>
      <c r="E22" s="5" t="s">
        <v>150</v>
      </c>
    </row>
    <row r="23" ht="30" customHeight="1" spans="1:5" x14ac:dyDescent="0.25">
      <c r="A23" s="4" t="s">
        <v>151</v>
      </c>
      <c r="B23" s="5" t="s">
        <v>114</v>
      </c>
      <c r="C23" s="5" t="s">
        <v>149</v>
      </c>
      <c r="D23" s="7">
        <v>127</v>
      </c>
      <c r="E23" s="5" t="s">
        <v>152</v>
      </c>
    </row>
    <row r="24" ht="33" customHeight="1" spans="1:5" x14ac:dyDescent="0.25">
      <c r="A24" s="4" t="s">
        <v>168</v>
      </c>
      <c r="B24" s="5" t="s">
        <v>114</v>
      </c>
      <c r="C24" s="5" t="s">
        <v>162</v>
      </c>
      <c r="D24" s="7">
        <v>3475.63</v>
      </c>
      <c r="E24" s="5" t="s">
        <v>169</v>
      </c>
    </row>
    <row r="25" ht="30" customHeight="1" spans="1:5" x14ac:dyDescent="0.25">
      <c r="A25" s="4" t="s">
        <v>174</v>
      </c>
      <c r="B25" s="5" t="s">
        <v>114</v>
      </c>
      <c r="C25" s="5" t="s">
        <v>162</v>
      </c>
      <c r="D25" s="7">
        <v>3475.63</v>
      </c>
      <c r="E25" s="5" t="s">
        <v>175</v>
      </c>
    </row>
    <row r="26" ht="30" customHeight="1" spans="1:5" x14ac:dyDescent="0.25">
      <c r="A26" s="4" t="s">
        <v>176</v>
      </c>
      <c r="B26" s="5" t="s">
        <v>114</v>
      </c>
      <c r="C26" s="5" t="s">
        <v>162</v>
      </c>
      <c r="D26" s="7">
        <v>3825.4</v>
      </c>
      <c r="E26" s="5" t="s">
        <v>177</v>
      </c>
    </row>
    <row r="27" ht="30" customHeight="1" spans="1:5" x14ac:dyDescent="0.25">
      <c r="A27" s="4" t="s">
        <v>182</v>
      </c>
      <c r="B27" s="5" t="s">
        <v>114</v>
      </c>
      <c r="C27" s="5" t="s">
        <v>162</v>
      </c>
      <c r="D27" s="7">
        <v>3825.4</v>
      </c>
      <c r="E27" s="5" t="s">
        <v>183</v>
      </c>
    </row>
    <row r="28" ht="30" customHeight="1" spans="1:5" x14ac:dyDescent="0.25">
      <c r="A28" s="4" t="s">
        <v>184</v>
      </c>
      <c r="B28" s="5" t="s">
        <v>114</v>
      </c>
      <c r="C28" s="5" t="s">
        <v>162</v>
      </c>
      <c r="D28" s="7">
        <v>3825.4</v>
      </c>
      <c r="E28" s="5" t="s">
        <v>185</v>
      </c>
    </row>
    <row r="29" ht="30" customHeight="1" spans="1:5" x14ac:dyDescent="0.25">
      <c r="A29" s="4" t="s">
        <v>190</v>
      </c>
      <c r="B29" s="5" t="s">
        <v>114</v>
      </c>
      <c r="C29" s="5" t="s">
        <v>162</v>
      </c>
      <c r="D29" s="7">
        <v>3825.4</v>
      </c>
      <c r="E29" s="5" t="s">
        <v>191</v>
      </c>
    </row>
    <row r="30" ht="33" customHeight="1" spans="1:5" x14ac:dyDescent="0.25">
      <c r="A30" s="4" t="s">
        <v>192</v>
      </c>
      <c r="B30" s="5" t="s">
        <v>114</v>
      </c>
      <c r="C30" s="5" t="s">
        <v>162</v>
      </c>
      <c r="D30" s="7">
        <v>812.06</v>
      </c>
      <c r="E30" s="5" t="s">
        <v>193</v>
      </c>
    </row>
    <row r="31" ht="30" customHeight="1" spans="1:5" x14ac:dyDescent="0.25">
      <c r="A31" s="4" t="s">
        <v>194</v>
      </c>
      <c r="B31" s="5" t="s">
        <v>114</v>
      </c>
      <c r="C31" s="5" t="s">
        <v>162</v>
      </c>
      <c r="D31" s="7">
        <v>1000</v>
      </c>
      <c r="E31" s="5" t="s">
        <v>195</v>
      </c>
    </row>
    <row r="32" ht="33" customHeight="1" spans="1:5" x14ac:dyDescent="0.25">
      <c r="A32" s="4" t="s">
        <v>226</v>
      </c>
      <c r="B32" s="5" t="s">
        <v>217</v>
      </c>
      <c r="C32" s="5" t="s">
        <v>227</v>
      </c>
      <c r="D32" s="7">
        <v>400</v>
      </c>
      <c r="E32" s="5" t="s">
        <v>228</v>
      </c>
    </row>
    <row r="33" ht="33" customHeight="1" spans="1:5" x14ac:dyDescent="0.25">
      <c r="A33" s="4" t="s">
        <v>229</v>
      </c>
      <c r="B33" s="5" t="s">
        <v>217</v>
      </c>
      <c r="C33" s="5" t="s">
        <v>230</v>
      </c>
      <c r="D33" s="7">
        <v>400</v>
      </c>
      <c r="E33" s="5" t="s">
        <v>231</v>
      </c>
    </row>
    <row r="34" ht="30" customHeight="1" spans="1:5" x14ac:dyDescent="0.25">
      <c r="A34" s="4" t="s">
        <v>244</v>
      </c>
      <c r="B34" s="5" t="s">
        <v>217</v>
      </c>
      <c r="C34" s="5" t="s">
        <v>245</v>
      </c>
      <c r="D34" s="7">
        <v>44.4</v>
      </c>
      <c r="E34" s="5" t="s">
        <v>246</v>
      </c>
    </row>
    <row r="35" ht="30" customHeight="1" spans="1:5" x14ac:dyDescent="0.25">
      <c r="A35" s="4" t="s">
        <v>274</v>
      </c>
      <c r="B35" s="5" t="s">
        <v>217</v>
      </c>
      <c r="C35" s="5" t="s">
        <v>275</v>
      </c>
      <c r="D35" s="7">
        <v>1329</v>
      </c>
      <c r="E35" s="5" t="s">
        <v>276</v>
      </c>
    </row>
    <row r="36" ht="30" customHeight="1" spans="1:5" x14ac:dyDescent="0.25">
      <c r="A36" s="4" t="s">
        <v>277</v>
      </c>
      <c r="B36" s="5" t="s">
        <v>217</v>
      </c>
      <c r="C36" s="5" t="s">
        <v>278</v>
      </c>
      <c r="D36" s="7">
        <v>139.94</v>
      </c>
      <c r="E36" s="5" t="s">
        <v>279</v>
      </c>
    </row>
    <row r="37" ht="30" customHeight="1" spans="1:5" x14ac:dyDescent="0.25">
      <c r="A37" s="4" t="s">
        <v>288</v>
      </c>
      <c r="B37" s="5" t="s">
        <v>217</v>
      </c>
      <c r="C37" s="5" t="s">
        <v>289</v>
      </c>
      <c r="D37" s="7">
        <v>41.34</v>
      </c>
      <c r="E37" s="5" t="s">
        <v>290</v>
      </c>
    </row>
    <row r="38" ht="46.5" customHeight="1" spans="1:5" x14ac:dyDescent="0.25">
      <c r="A38" s="4" t="s">
        <v>295</v>
      </c>
      <c r="B38" s="5" t="s">
        <v>217</v>
      </c>
      <c r="C38" s="5" t="s">
        <v>296</v>
      </c>
      <c r="D38" s="7">
        <v>3746.42</v>
      </c>
      <c r="E38" s="5" t="s">
        <v>297</v>
      </c>
    </row>
    <row r="39" ht="46.5" customHeight="1" spans="1:5" x14ac:dyDescent="0.25">
      <c r="A39" s="4" t="s">
        <v>343</v>
      </c>
      <c r="B39" s="5" t="s">
        <v>299</v>
      </c>
      <c r="C39" s="5" t="s">
        <v>344</v>
      </c>
      <c r="D39" s="7">
        <v>510</v>
      </c>
      <c r="E39" s="5" t="s">
        <v>346</v>
      </c>
    </row>
    <row r="40" ht="33" customHeight="1" spans="1:5" x14ac:dyDescent="0.25">
      <c r="A40" s="4" t="s">
        <v>354</v>
      </c>
      <c r="B40" s="5" t="s">
        <v>299</v>
      </c>
      <c r="C40" s="5" t="s">
        <v>355</v>
      </c>
      <c r="D40" s="7">
        <v>960</v>
      </c>
      <c r="E40" s="5" t="s">
        <v>357</v>
      </c>
    </row>
    <row r="41" ht="33" customHeight="1" spans="1:5" x14ac:dyDescent="0.25">
      <c r="A41" s="4" t="s">
        <v>358</v>
      </c>
      <c r="B41" s="5" t="s">
        <v>299</v>
      </c>
      <c r="C41" s="5" t="s">
        <v>359</v>
      </c>
      <c r="D41" s="7">
        <v>46.9</v>
      </c>
      <c r="E41" s="5" t="s">
        <v>360</v>
      </c>
    </row>
    <row r="42" ht="33" customHeight="1" spans="1:5" x14ac:dyDescent="0.25">
      <c r="A42" s="4" t="s">
        <v>373</v>
      </c>
      <c r="B42" s="5" t="s">
        <v>299</v>
      </c>
      <c r="C42" s="5" t="s">
        <v>374</v>
      </c>
      <c r="D42" s="7">
        <v>337.35</v>
      </c>
      <c r="E42" s="5" t="s">
        <v>375</v>
      </c>
    </row>
    <row r="43" ht="46.5" customHeight="1" spans="1:5" x14ac:dyDescent="0.25">
      <c r="A43" s="4" t="s">
        <v>402</v>
      </c>
      <c r="B43" s="5" t="s">
        <v>394</v>
      </c>
      <c r="C43" s="5" t="s">
        <v>403</v>
      </c>
      <c r="D43" s="7">
        <v>40</v>
      </c>
      <c r="E43" s="5" t="s">
        <v>404</v>
      </c>
    </row>
    <row r="44" ht="46.5" customHeight="1" spans="1:5" x14ac:dyDescent="0.25">
      <c r="A44" s="4" t="s">
        <v>419</v>
      </c>
      <c r="B44" s="5" t="s">
        <v>394</v>
      </c>
      <c r="C44" s="5" t="s">
        <v>420</v>
      </c>
      <c r="D44" s="7">
        <v>350</v>
      </c>
      <c r="E44" s="5" t="s">
        <v>422</v>
      </c>
    </row>
    <row r="45" ht="33" customHeight="1" spans="1:5" x14ac:dyDescent="0.25">
      <c r="A45" s="4" t="s">
        <v>444</v>
      </c>
      <c r="B45" s="5" t="s">
        <v>394</v>
      </c>
      <c r="C45" s="5" t="s">
        <v>445</v>
      </c>
      <c r="D45" s="7">
        <v>307.93</v>
      </c>
      <c r="E45" s="5" t="s">
        <v>447</v>
      </c>
    </row>
    <row r="46" ht="30" customHeight="1" spans="1:5" x14ac:dyDescent="0.25">
      <c r="A46" s="4" t="s">
        <v>448</v>
      </c>
      <c r="B46" s="5" t="s">
        <v>394</v>
      </c>
      <c r="C46" s="5" t="s">
        <v>449</v>
      </c>
      <c r="D46" s="7">
        <v>322.42</v>
      </c>
      <c r="E46" s="5" t="s">
        <v>450</v>
      </c>
    </row>
    <row r="47" ht="46.5" customHeight="1" spans="1:5" x14ac:dyDescent="0.25">
      <c r="A47" s="4" t="s">
        <v>487</v>
      </c>
      <c r="B47" s="5" t="s">
        <v>460</v>
      </c>
      <c r="C47" s="5" t="s">
        <v>489</v>
      </c>
      <c r="D47" s="7">
        <v>448.92</v>
      </c>
      <c r="E47" s="5" t="s">
        <v>490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E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3" width="46" customWidth="1"/>
    <col min="4" max="4" width="12" customWidth="1"/>
    <col min="5" max="5" width="90" customWidth="1"/>
  </cols>
  <sheetData>
    <row r="1" spans="1:5" x14ac:dyDescent="0.25">
      <c r="A1" s="27" t="s">
        <v>547</v>
      </c>
      <c r="B1" s="27"/>
      <c r="C1" s="27"/>
      <c r="D1" s="27"/>
      <c r="E1" s="27"/>
    </row>
    <row r="3" ht="30" customHeight="1" spans="1:5" x14ac:dyDescent="0.25">
      <c r="A3" s="28" t="s">
        <v>2</v>
      </c>
      <c r="B3" s="28" t="s">
        <v>14</v>
      </c>
      <c r="C3" s="28" t="s">
        <v>7</v>
      </c>
      <c r="D3" s="28" t="s">
        <v>6</v>
      </c>
      <c r="E3" s="28" t="s">
        <v>548</v>
      </c>
    </row>
    <row r="4" ht="60" customHeight="1" spans="1:5" x14ac:dyDescent="0.25">
      <c r="A4" s="4" t="s">
        <v>32</v>
      </c>
      <c r="B4" s="5" t="s">
        <v>35</v>
      </c>
      <c r="C4" s="5" t="s">
        <v>33</v>
      </c>
      <c r="D4" s="7">
        <v>2308.56</v>
      </c>
      <c r="E4" s="5" t="s">
        <v>37</v>
      </c>
    </row>
    <row r="5" ht="60" customHeight="1" spans="1:5" x14ac:dyDescent="0.25">
      <c r="A5" s="4" t="s">
        <v>127</v>
      </c>
      <c r="B5" s="5" t="s">
        <v>129</v>
      </c>
      <c r="C5" s="5" t="s">
        <v>128</v>
      </c>
      <c r="D5" s="7">
        <v>203</v>
      </c>
      <c r="E5" s="5" t="s">
        <v>130</v>
      </c>
    </row>
    <row r="6" ht="46.5" customHeight="1" spans="1:5" x14ac:dyDescent="0.25">
      <c r="A6" s="4" t="s">
        <v>131</v>
      </c>
      <c r="B6" s="5" t="s">
        <v>35</v>
      </c>
      <c r="C6" s="5" t="s">
        <v>132</v>
      </c>
      <c r="D6" s="7">
        <v>26.77</v>
      </c>
      <c r="E6" s="5" t="s">
        <v>134</v>
      </c>
    </row>
    <row r="7" ht="60" customHeight="1" spans="1:5" x14ac:dyDescent="0.25">
      <c r="A7" s="4" t="s">
        <v>160</v>
      </c>
      <c r="B7" s="5" t="s">
        <v>129</v>
      </c>
      <c r="C7" s="5" t="s">
        <v>162</v>
      </c>
      <c r="D7" s="7">
        <v>239.84</v>
      </c>
      <c r="E7" s="5" t="s">
        <v>164</v>
      </c>
    </row>
    <row r="8" ht="46.5" customHeight="1" spans="1:5" x14ac:dyDescent="0.25">
      <c r="A8" s="4" t="s">
        <v>170</v>
      </c>
      <c r="B8" s="5" t="s">
        <v>35</v>
      </c>
      <c r="C8" s="5" t="s">
        <v>171</v>
      </c>
      <c r="D8" s="7">
        <v>1000</v>
      </c>
      <c r="E8" s="5" t="s">
        <v>173</v>
      </c>
    </row>
    <row r="9" ht="46.5" customHeight="1" spans="1:5" x14ac:dyDescent="0.25">
      <c r="A9" s="4" t="s">
        <v>186</v>
      </c>
      <c r="B9" s="5" t="s">
        <v>129</v>
      </c>
      <c r="C9" s="5" t="s">
        <v>187</v>
      </c>
      <c r="D9" s="7">
        <v>720.05</v>
      </c>
      <c r="E9" s="5" t="s">
        <v>189</v>
      </c>
    </row>
    <row r="10" ht="33" customHeight="1" spans="1:5" x14ac:dyDescent="0.25">
      <c r="A10" s="4" t="s">
        <v>204</v>
      </c>
      <c r="B10" s="5" t="s">
        <v>35</v>
      </c>
      <c r="C10" s="5" t="s">
        <v>162</v>
      </c>
      <c r="D10" s="7">
        <v>1200</v>
      </c>
      <c r="E10" s="5" t="s">
        <v>206</v>
      </c>
    </row>
    <row r="11" ht="60" customHeight="1" spans="1:5" x14ac:dyDescent="0.25">
      <c r="A11" s="4" t="s">
        <v>210</v>
      </c>
      <c r="B11" s="5" t="s">
        <v>35</v>
      </c>
      <c r="C11" s="5" t="s">
        <v>213</v>
      </c>
      <c r="D11" s="7">
        <v>4577.76</v>
      </c>
      <c r="E11" s="5" t="s">
        <v>215</v>
      </c>
    </row>
    <row r="12" ht="60" customHeight="1" spans="1:5" x14ac:dyDescent="0.25">
      <c r="A12" s="4" t="s">
        <v>216</v>
      </c>
      <c r="B12" s="5" t="s">
        <v>35</v>
      </c>
      <c r="C12" s="5" t="s">
        <v>219</v>
      </c>
      <c r="D12" s="7">
        <v>5635.38</v>
      </c>
      <c r="E12" s="5" t="s">
        <v>221</v>
      </c>
    </row>
    <row r="13" ht="46.5" customHeight="1" spans="1:5" x14ac:dyDescent="0.25">
      <c r="A13" s="4" t="s">
        <v>222</v>
      </c>
      <c r="B13" s="5" t="s">
        <v>35</v>
      </c>
      <c r="C13" s="5" t="s">
        <v>223</v>
      </c>
      <c r="D13" s="7">
        <v>4241.38</v>
      </c>
      <c r="E13" s="5" t="s">
        <v>225</v>
      </c>
    </row>
    <row r="14" ht="46.5" customHeight="1" spans="1:5" x14ac:dyDescent="0.25">
      <c r="A14" s="4" t="s">
        <v>240</v>
      </c>
      <c r="B14" s="5" t="s">
        <v>35</v>
      </c>
      <c r="C14" s="5" t="s">
        <v>241</v>
      </c>
      <c r="D14" s="7">
        <v>519.98</v>
      </c>
      <c r="E14" s="5" t="s">
        <v>243</v>
      </c>
    </row>
    <row r="15" ht="60" customHeight="1" spans="1:5" x14ac:dyDescent="0.25">
      <c r="A15" s="4" t="s">
        <v>350</v>
      </c>
      <c r="B15" s="5" t="s">
        <v>35</v>
      </c>
      <c r="C15" s="5" t="s">
        <v>351</v>
      </c>
      <c r="D15" s="7">
        <v>2265</v>
      </c>
      <c r="E15" s="5" t="s">
        <v>353</v>
      </c>
    </row>
    <row r="16" ht="33" customHeight="1" spans="1:5" x14ac:dyDescent="0.25">
      <c r="A16" s="4" t="s">
        <v>386</v>
      </c>
      <c r="B16" s="5" t="s">
        <v>35</v>
      </c>
      <c r="C16" s="5" t="s">
        <v>387</v>
      </c>
      <c r="D16" s="7">
        <v>1252.54</v>
      </c>
      <c r="E16" s="5" t="s">
        <v>389</v>
      </c>
    </row>
    <row r="17" ht="46.5" customHeight="1" spans="1:5" x14ac:dyDescent="0.25">
      <c r="A17" s="4" t="s">
        <v>393</v>
      </c>
      <c r="B17" s="5" t="s">
        <v>35</v>
      </c>
      <c r="C17" s="5" t="s">
        <v>396</v>
      </c>
      <c r="D17" s="7">
        <v>137.28</v>
      </c>
      <c r="E17" s="5" t="s">
        <v>397</v>
      </c>
    </row>
    <row r="18" ht="60" customHeight="1" spans="1:5" x14ac:dyDescent="0.25">
      <c r="A18" s="4" t="s">
        <v>398</v>
      </c>
      <c r="B18" s="5" t="s">
        <v>129</v>
      </c>
      <c r="C18" s="5" t="s">
        <v>399</v>
      </c>
      <c r="D18" s="7">
        <v>150</v>
      </c>
      <c r="E18" s="5" t="s">
        <v>401</v>
      </c>
    </row>
    <row r="19" ht="60" customHeight="1" spans="1:5" x14ac:dyDescent="0.25">
      <c r="A19" s="4" t="s">
        <v>459</v>
      </c>
      <c r="B19" s="5" t="s">
        <v>129</v>
      </c>
      <c r="C19" s="5" t="s">
        <v>462</v>
      </c>
      <c r="D19" s="7">
        <v>540.04</v>
      </c>
      <c r="E19" s="5" t="s">
        <v>464</v>
      </c>
    </row>
    <row r="20" ht="33" customHeight="1" spans="1:5" x14ac:dyDescent="0.25">
      <c r="A20" s="4" t="s">
        <v>465</v>
      </c>
      <c r="B20" s="5" t="s">
        <v>129</v>
      </c>
      <c r="C20" s="5" t="s">
        <v>466</v>
      </c>
      <c r="D20" s="7">
        <v>20</v>
      </c>
      <c r="E20" s="5" t="s">
        <v>468</v>
      </c>
    </row>
    <row r="21" ht="46.5" customHeight="1" spans="1:5" x14ac:dyDescent="0.25">
      <c r="A21" s="4" t="s">
        <v>469</v>
      </c>
      <c r="B21" s="5" t="s">
        <v>35</v>
      </c>
      <c r="C21" s="5" t="s">
        <v>470</v>
      </c>
      <c r="D21" s="7">
        <v>373.72</v>
      </c>
      <c r="E21" s="5" t="s">
        <v>472</v>
      </c>
    </row>
    <row r="22" ht="46.5" customHeight="1" spans="1:5" x14ac:dyDescent="0.25">
      <c r="A22" s="4" t="s">
        <v>482</v>
      </c>
      <c r="B22" s="5" t="s">
        <v>129</v>
      </c>
      <c r="C22" s="5" t="s">
        <v>484</v>
      </c>
      <c r="D22" s="7">
        <v>8312.71</v>
      </c>
      <c r="E22" s="5" t="s">
        <v>486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Pendências</vt:lpstr>
      <vt:lpstr>Resumo</vt:lpstr>
      <vt:lpstr>Para enviar ao escritório</vt:lpstr>
      <vt:lpstr>Falta decisão da igreja</vt:lpstr>
      <vt:lpstr>Falta documento</vt:lpstr>
      <vt:lpstr>Falta resposta ao escritório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DiakoniaApp</dc:creator>
  <dc:title/>
  <dc:subject/>
  <dc:description/>
  <cp:keywords/>
  <cp:category/>
  <cp:lastModifiedBy>Unknown</cp:lastModifiedBy>
  <dcterms:created xsi:type="dcterms:W3CDTF">2026-10-13T15:23:15Z</dcterms:created>
  <dcterms:modified xsi:type="dcterms:W3CDTF">2026-10-13T15:23:15Z</dcterms:modified>
</cp:coreProperties>
</file>