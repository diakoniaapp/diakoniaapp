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isão" state="visible" r:id="rId4"/>
    <sheet sheetId="2" name="Resumo" state="visible" r:id="rId5"/>
    <sheet sheetId="3" name="Como preencher" state="visible" r:id="rId6"/>
  </sheets>
  <calcPr calcId="171027"/>
</workbook>
</file>

<file path=xl/sharedStrings.xml><?xml version="1.0" encoding="utf-8"?>
<sst xmlns="http://schemas.openxmlformats.org/spreadsheetml/2006/main" count="208" uniqueCount="140">
  <si>
    <t>17 NFs sem pagamento identificado — planilha de decisão</t>
  </si>
  <si>
    <t>Levantamento de 13/10/2026 (saldo do escritório em 31/08/2026). Colunas A a K: o que o app e o escritório mostram. Colunas L a Q (amarelas): a sua decisão. As colunas M a P só valem conforme a Situação escolhida em L; as que não se aplicam ficam cinza e as que faltam preencher ficam laranja.</t>
  </si>
  <si>
    <t>O QUE SABEMOS</t>
  </si>
  <si>
    <t>SUA DECISÃO</t>
  </si>
  <si>
    <t>ID</t>
  </si>
  <si>
    <t>Fornecedor</t>
  </si>
  <si>
    <t>Nº da NF</t>
  </si>
  <si>
    <t>Data</t>
  </si>
  <si>
    <t>Valor (R$)</t>
  </si>
  <si>
    <t>Categoria atual</t>
  </si>
  <si>
    <t>Centro atual</t>
  </si>
  <si>
    <t>Descrição</t>
  </si>
  <si>
    <t>Existe documento anexado?</t>
  </si>
  <si>
    <t>Existe pagamento localizado?</t>
  </si>
  <si>
    <t>Observações</t>
  </si>
  <si>
    <t>Situação</t>
  </si>
  <si>
    <t xml:space="preserve">Nome do doador
(se Oferta)</t>
  </si>
  <si>
    <t xml:space="preserve">Pessoa a reembolsar
(se Reembolso)</t>
  </si>
  <si>
    <t xml:space="preserve">Pagamento já realizado?
(se Reembolso)</t>
  </si>
  <si>
    <t xml:space="preserve">Forma de pagamento
(se Pago de Outra Forma)</t>
  </si>
  <si>
    <t>Sua observação</t>
  </si>
  <si>
    <t>NF-01</t>
  </si>
  <si>
    <t>RFC Comércio de Miudezas</t>
  </si>
  <si>
    <t>6942</t>
  </si>
  <si>
    <t>Sem lançamento no app</t>
  </si>
  <si>
    <t>—</t>
  </si>
  <si>
    <t>NF 6942, RFC Comércio de Miudezas. Nota recebida e lançada pelo escritório na conta 211005 (fornecedores de bens materiais), ainda sem baixa.</t>
  </si>
  <si>
    <t>Não (a NF não está no app)</t>
  </si>
  <si>
    <t>Não</t>
  </si>
  <si>
    <t>Pelo nome: material diverso (miudezas). Fornecedor sem cadastro no app. Aberta há 310 dias em 31/08/2026.</t>
  </si>
  <si>
    <t>NF-02</t>
  </si>
  <si>
    <t>Kalunga</t>
  </si>
  <si>
    <t>344169</t>
  </si>
  <si>
    <t>NF 344169, Kalunga. Nota recebida e lançada pelo escritório na conta 211005 (fornecedores de bens materiais), ainda sem baixa.</t>
  </si>
  <si>
    <t>Pelo nome: papelaria, material de escritório ou informática. Fornecedor sem cadastro no app. Aberta há 308 dias em 31/08/2026.</t>
  </si>
  <si>
    <t>NF-03</t>
  </si>
  <si>
    <t>Vira Verão Bazar</t>
  </si>
  <si>
    <t>64</t>
  </si>
  <si>
    <t>NF 64, Vira Verão Bazar. Nota recebida e lançada pelo escritório na conta 211005 (fornecedores de bens materiais), ainda sem baixa.</t>
  </si>
  <si>
    <t>Pelo nome: bazar, artigos diversos. Fornecedor sem cadastro no app. Aberta há 307 dias em 31/08/2026.</t>
  </si>
  <si>
    <t>NF-04</t>
  </si>
  <si>
    <t>Estação da Central Comércio de Doces e Bebidas</t>
  </si>
  <si>
    <t>66</t>
  </si>
  <si>
    <t>NF 66, Estação da Central Comércio de Doces e Bebidas. Nota recebida e lançada pelo escritório na conta 211005 (fornecedores de bens materiais), ainda sem baixa.</t>
  </si>
  <si>
    <t>Pelo nome: doces e bebidas (lanche ou evento). Fornecedor sem cadastro no app. Datas de 25 a 29/10/2025: quatro NFs pequenas na mesma semana (RFC, Kalunga, Vira Verão, Estação da Central). Aberta há 306 dias em 31/08/2026.</t>
  </si>
  <si>
    <t>NF-05</t>
  </si>
  <si>
    <t>Claudinei Pinhal dos Santos Comércio</t>
  </si>
  <si>
    <t>31606</t>
  </si>
  <si>
    <t>NF 31606, Claudinei Pinhal dos Santos Comércio. Nota recebida e lançada pelo escritório na conta 211005 (fornecedores de bens materiais), ainda sem baixa.</t>
  </si>
  <si>
    <t>Ramo não identificado pelo nome. Fornecedor sem cadastro no app. Aberta há 285 dias em 31/08/2026.</t>
  </si>
  <si>
    <t>NF-06</t>
  </si>
  <si>
    <t>SOS Sobrado Malhas</t>
  </si>
  <si>
    <t>3763</t>
  </si>
  <si>
    <t>NF 3763, SOS Sobrado Malhas. Nota recebida e lançada pelo escritório na conta 211005 (fornecedores de bens materiais), ainda sem baixa.</t>
  </si>
  <si>
    <t>Pelo nome: malhas e confecção. Fornecedor sem cadastro no app. Aberta há 135 dias em 31/08/2026.</t>
  </si>
  <si>
    <t>NF-07</t>
  </si>
  <si>
    <t>Tech Brasil Comércio e Serviços</t>
  </si>
  <si>
    <t>9922</t>
  </si>
  <si>
    <t>NF 9922, Tech Brasil Comércio e Serviços. Nota recebida e lançada pelo escritório na conta 211005 (fornecedores de bens materiais), ainda sem baixa.</t>
  </si>
  <si>
    <t>Pelo nome: comércio e serviços, provavelmente informática. Fornecedor sem cadastro no app. Aberta há 125 dias em 31/08/2026.</t>
  </si>
  <si>
    <t>NF-08</t>
  </si>
  <si>
    <t>Del Castilho Madeiras e Construção</t>
  </si>
  <si>
    <t>24553</t>
  </si>
  <si>
    <t>Sem lançamento no app (histórico do fornecedor: Material de Consumo)</t>
  </si>
  <si>
    <t>(histórico do fornecedor: Administração · Ornamentação)</t>
  </si>
  <si>
    <t>NF 24553, Del Castilho Madeiras e Construção. Nota recebida e lançada pelo escritório na conta 211005 (fornecedores de bens materiais), ainda sem baixa.</t>
  </si>
  <si>
    <t>Pelo nome: material de construção. Fornecedor cadastrado. Tem 2 pagamentos em ago/2025 (R$ 159,00 e R$ 780,03, ambos na Caixinha), de outro período e de outro valor. Aberta há 21 dias em 31/08/2026.</t>
  </si>
  <si>
    <t>NF-09</t>
  </si>
  <si>
    <t>C Cadamuro Comércio de Utilidades Automotivas</t>
  </si>
  <si>
    <t>53836</t>
  </si>
  <si>
    <t>NF 53836, C Cadamuro Comércio de Utilidades Automotivas. Nota recebida e lançada pelo escritório na conta 211005 (fornecedores de bens materiais), ainda sem baixa.</t>
  </si>
  <si>
    <t>Pelo nome: utilidades automotivas. Fornecedor sem cadastro no app. Aberta há 5 dias em 31/08/2026.</t>
  </si>
  <si>
    <t>NF-10</t>
  </si>
  <si>
    <t>Goldensky Comércio Digital</t>
  </si>
  <si>
    <t>1621752</t>
  </si>
  <si>
    <t>NF 1621752, Goldensky Comércio Digital. Nota recebida e lançada pelo escritório na conta 211005 (fornecedores de bens materiais), ainda sem baixa.</t>
  </si>
  <si>
    <t>Pelo nome: comércio eletrônico. Fornecedor cadastrado, sem nenhum lançamento. NF de 31/08: se foi paga em setembro, o app mostraria; não mostra. Aberta há 0 dias em 31/08/2026.</t>
  </si>
  <si>
    <t>NF-11</t>
  </si>
  <si>
    <t>D Flesh Serviços e Conveniências</t>
  </si>
  <si>
    <t>25597</t>
  </si>
  <si>
    <t>Sem lançamento no app (histórico do fornecedor: Publicidade e Propaganda)</t>
  </si>
  <si>
    <t>(histórico do fornecedor: Administração · Institucional)</t>
  </si>
  <si>
    <t>NF 25597, D Flesh Serviços e Conveniências. Nota recebida e lançada pelo escritório na conta 211006 (fornecedores de bens e serviços), ainda sem baixa.</t>
  </si>
  <si>
    <t>Pelo nome e histórico: serviços gráficos (material de divulgação, panfleto). Fornecedor cadastrado. Tem 6 pagamentos (R$ 1.270,00 no total); os mais próximos: R$ 250,00 em 07/11/2024 e R$ 100,00 em 26/03/2025. Nenhum de R$ 137,28. Aberta há 690 dias em 31/08/2026.</t>
  </si>
  <si>
    <t>NF-12</t>
  </si>
  <si>
    <t>Paulo Cid Lopes Pinto</t>
  </si>
  <si>
    <t>184</t>
  </si>
  <si>
    <t>NF 184, Paulo Cid Lopes Pinto. Nota recebida e lançada pelo escritório na conta 211006 (fornecedores de bens e serviços), ainda sem baixa.</t>
  </si>
  <si>
    <t>Pessoa física ou MEI. Fornecedor sem cadastro. O app tem pagamentos que citam Paulo Cid nas observações, lançados como SOLTECX Construções e Soluções: R$ 160,00 (26/06/2024 e 18/07/2025), R$ 726,70 (06/02/2025), R$ 558,00 (24/03/2025) e R$ 210,00 (27/02/2026). Nenhum de R$ 150,00. Aberta há 662 dias em 31/08/2026.</t>
  </si>
  <si>
    <t>NF-13</t>
  </si>
  <si>
    <t>R E M Áudio e Tecnologia</t>
  </si>
  <si>
    <t>1047</t>
  </si>
  <si>
    <t>NF 1047, R E M Áudio e Tecnologia. Nota recebida e lançada pelo escritório na conta 211006 (fornecedores de bens e serviços), ainda sem baixa.</t>
  </si>
  <si>
    <t>Pelo nome: áudio e tecnologia (equipamento ou serviço de som). Fornecedor sem cadastro no app. Aberta há 367 dias em 31/08/2026.</t>
  </si>
  <si>
    <t>NF-14</t>
  </si>
  <si>
    <t>Hotelaria Accor Brasil</t>
  </si>
  <si>
    <t>166376</t>
  </si>
  <si>
    <t>NF 166376, Hotelaria Accor Brasil. Nota recebida e lançada pelo escritório na conta 211006 (fornecedores de bens e serviços), ainda sem baixa.</t>
  </si>
  <si>
    <t>Pelo nome: hospedagem (hotel). Provável viagem ou evento. Fornecedor sem cadastro no app. Aberta há 357 dias em 31/08/2026.</t>
  </si>
  <si>
    <t>NF-15</t>
  </si>
  <si>
    <t>Hidro Sistemas Contra Incêndio</t>
  </si>
  <si>
    <t>7392</t>
  </si>
  <si>
    <t>NF 7392, Hidro Sistemas Contra Incêndio. Nota recebida e lançada pelo escritório na conta 211006 (fornecedores de bens e serviços), ainda sem baixa.</t>
  </si>
  <si>
    <t>Pelo nome: serviço de combate a incêndio (extintores ou mangueiras). Fornecedor sem cadastro no app. Aberta há 269 dias em 31/08/2026.</t>
  </si>
  <si>
    <t>NF-16</t>
  </si>
  <si>
    <t>Castor Administração de Hotelaria</t>
  </si>
  <si>
    <t>230048</t>
  </si>
  <si>
    <t>NF 230048, Castor Administração de Hotelaria. Nota recebida e lançada pelo escritório na conta 211006 (fornecedores de bens e serviços), ainda sem baixa.</t>
  </si>
  <si>
    <t>Pelo nome: hospedagem (hotel). Provável viagem ou evento. Fornecedor sem cadastro no app. Duas NFs do mesmo hotel com 6 dias de diferença (esta e a 230334). Aberta há 118 dias em 31/08/2026.</t>
  </si>
  <si>
    <t>NF-17</t>
  </si>
  <si>
    <t>230334</t>
  </si>
  <si>
    <t>NF 230334, Castor Administração de Hotelaria. Nota recebida e lançada pelo escritório na conta 211006 (fornecedores de bens e serviços), ainda sem baixa.</t>
  </si>
  <si>
    <t>Pelo nome: hospedagem (hotel). Provável viagem ou evento. Fornecedor sem cadastro no app. Duas NFs do mesmo hotel com 6 dias de diferença (esta e a 230048). Aberta há 112 dias em 31/08/2026.</t>
  </si>
  <si>
    <t>Total das 17 NFs</t>
  </si>
  <si>
    <t>Andamento da decisão</t>
  </si>
  <si>
    <t>NFs</t>
  </si>
  <si>
    <t>Oferta para a Igreja</t>
  </si>
  <si>
    <t>Reembolso</t>
  </si>
  <si>
    <t>Pago de Outra Forma</t>
  </si>
  <si>
    <t>Precisa Investigar</t>
  </si>
  <si>
    <t>Ainda sem decisão</t>
  </si>
  <si>
    <t>Total</t>
  </si>
  <si>
    <t>Linhas com dados faltando</t>
  </si>
  <si>
    <t>Oferta sem nome do doador</t>
  </si>
  <si>
    <t>Reembolso sem pessoa a reembolsar</t>
  </si>
  <si>
    <t>Reembolso sem 'pagamento já realizado?'</t>
  </si>
  <si>
    <t>Pago de outra forma sem a forma</t>
  </si>
  <si>
    <t>Pronto para o 2º relatório quando 'Ainda sem decisão' e todas as linhas faltando forem zero.</t>
  </si>
  <si>
    <t>Como escolher a Situação</t>
  </si>
  <si>
    <t>Quando escolher</t>
  </si>
  <si>
    <t>O que isso significa para a contabilidade</t>
  </si>
  <si>
    <t>Alguém comprou com dinheiro próprio, a NF saiu no CNPJ da igreja e a pessoa disse que estava ofertando. Não houve nem haverá reembolso. Informe o doador.</t>
  </si>
  <si>
    <t>Doação não monetária: o escritório lança despesa (ou estoque, ou imobilizado) e a receita de doação. Não passa por caixa nem por banco. Pede termo de doação assinado pelo doador.</t>
  </si>
  <si>
    <t>Alguém pagou do próprio bolso e a igreja deve devolver (ou já devolveu). Informe a pessoa e se o reembolso já foi pago.</t>
  </si>
  <si>
    <t>A despesa vale na data da NF, e a igreja deve à pessoa. Se já foi pago, o app precisa do comprovante do reembolso; se não, vira conta a pagar para a pessoa.</t>
  </si>
  <si>
    <t>A igreja pagou, mas o app não mostra: foi PIX, TED, dinheiro, cartão ou outro. Informe a forma.</t>
  </si>
  <si>
    <t>O pagamento existe; falta localizá-lo e ligá-lo à NF. Pode ser um pagamento já lançado com outro nome ou valor, ou algo que ficou fora do app.</t>
  </si>
  <si>
    <t>Você não sabe. O escritório volta a perguntar.</t>
  </si>
  <si>
    <t>Continua aberta na contabilidade até haver uma resposta.</t>
  </si>
  <si>
    <t>Esta planilha só registra a sua decisão. Nenhum dado do app é alterado, nenhum lançamento é criado e nada é reclassificado.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</si>
</sst>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$&quot; #,##0.00"/>
  </numFmts>
  <fonts count="10" x14ac:knownFonts="1">
    <font>
      <color theme="1"/>
      <family val="2"/>
      <scheme val="minor"/>
      <sz val="11"/>
      <name val="Calibri"/>
    </font>
    <font>
      <b/>
      <color rgb="FF1F3A5F"/>
      <sz val="14"/>
      <name val="Arial"/>
    </font>
    <font>
      <i/>
      <color rgb="FF555B63"/>
      <sz val="10"/>
      <name val="Arial"/>
    </font>
    <font>
      <b/>
      <color rgb="FFFFFFFF"/>
      <sz val="10"/>
      <name val="Arial"/>
    </font>
    <font>
      <b/>
      <color rgb="FF3B2F00"/>
      <sz val="10"/>
      <name val="Arial"/>
    </font>
    <font>
      <b/>
      <sz val="10"/>
      <name val="Arial"/>
    </font>
    <font>
      <sz val="10"/>
      <name val="Arial"/>
    </font>
    <font>
      <b/>
      <color rgb="FF1F3A5F"/>
      <sz val="13"/>
      <name val="Arial"/>
    </font>
    <font>
      <b/>
      <color rgb="FF1F3A5F"/>
      <sz val="10"/>
      <name val="Arial"/>
    </font>
    <font>
      <i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8A6D00"/>
      </patternFill>
    </fill>
    <fill>
      <patternFill patternType="solid">
        <fgColor rgb="FFF2C94C"/>
      </patternFill>
    </fill>
    <fill>
      <patternFill patternType="solid">
        <fgColor rgb="FFFFF6CC"/>
      </patternFill>
    </fill>
  </fills>
  <borders count="2">
    <border>
      <left/>
      <right/>
      <top/>
      <bottom/>
      <diagonal/>
    </border>
    <border>
      <left style="thin">
        <color rgb="FFB8BEC6"/>
      </left>
      <right style="thin">
        <color rgb="FFB8BEC6"/>
      </right>
      <top style="thin">
        <color rgb="FFB8BEC6"/>
      </top>
      <bottom style="thin">
        <color rgb="FFB8BEC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/>
    </xf>
    <xf numFmtId="164" fontId="6" fillId="0" borderId="1" xfId="0" applyNumberFormat="1" applyFont="1" applyBorder="1" applyAlignment="1">
      <alignment vertical="top" wrapText="1"/>
    </xf>
    <xf numFmtId="165" fontId="6" fillId="0" borderId="1" xfId="0" applyNumberFormat="1" applyFont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5" fillId="0" borderId="0" xfId="0" applyFont="1"/>
    <xf numFmtId="165" fontId="5" fillId="0" borderId="0" xfId="0" applyNumberFormat="1" applyFont="1"/>
    <xf numFmtId="0" fontId="7" fillId="0" borderId="0" xfId="0" applyFont="1"/>
    <xf numFmtId="0" fontId="3" fillId="2" borderId="1" xfId="0" applyFont="1" applyFill="1" applyBorder="1"/>
    <xf numFmtId="0" fontId="6" fillId="0" borderId="1" xfId="0" applyFont="1" applyBorder="1"/>
    <xf numFmtId="165" fontId="6" fillId="0" borderId="1" xfId="0" applyNumberFormat="1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8" fillId="0" borderId="0" xfId="0" applyFont="1"/>
    <xf numFmtId="0" fontId="2" fillId="0" borderId="0" xfId="0" applyFont="1"/>
    <xf numFmtId="0" fontId="9" fillId="0" borderId="0" xfId="0" applyFont="1"/>
  </cellXfs>
  <cellStyles count="1">
    <cellStyle name="Normal" xfId="0" builtinId="0"/>
  </cellStyles>
  <dxfs count="9">
    <dxf>
      <fill>
        <patternFill patternType="solid">
          <bgColor rgb="FFFFD9B3"/>
        </patternFill>
      </fill>
    </dxf>
    <dxf>
      <fill>
        <patternFill patternType="solid">
          <bgColor rgb="FFD0D4D9"/>
        </patternFill>
      </fill>
    </dxf>
    <dxf>
      <fill>
        <patternFill patternType="solid">
          <bgColor rgb="FFFFD9B3"/>
        </patternFill>
      </fill>
    </dxf>
    <dxf>
      <fill>
        <patternFill patternType="solid">
          <bgColor rgb="FFD0D4D9"/>
        </patternFill>
      </fill>
    </dxf>
    <dxf>
      <fill>
        <patternFill patternType="solid">
          <bgColor rgb="FFFFD9B3"/>
        </patternFill>
      </fill>
    </dxf>
    <dxf>
      <fill>
        <patternFill patternType="solid">
          <bgColor rgb="FFD0D4D9"/>
        </patternFill>
      </fill>
    </dxf>
    <dxf>
      <fill>
        <patternFill patternType="solid">
          <bgColor rgb="FFFFD9B3"/>
        </patternFill>
      </fill>
    </dxf>
    <dxf>
      <fill>
        <patternFill patternType="solid">
          <bgColor rgb="FFD0D4D9"/>
        </patternFill>
      </fill>
    </dxf>
    <dxf>
      <fill>
        <patternFill patternType="solid">
          <bgColor rgb="FFFFD9B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A5F"/>
    <pageSetUpPr fitToPage="1"/>
  </sheetPr>
  <dimension ref="A1:Q23"/>
  <sheetViews>
    <sheetView workbookViewId="0">
      <pane xSplit="3" ySplit="4" topLeftCell="D5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30" customWidth="1"/>
    <col min="3" max="3" width="10" customWidth="1"/>
    <col min="4" max="4" width="11" customWidth="1"/>
    <col min="5" max="5" width="12" customWidth="1"/>
    <col min="6" max="6" width="26" customWidth="1"/>
    <col min="7" max="7" width="24" customWidth="1"/>
    <col min="8" max="8" width="38" customWidth="1"/>
    <col min="9" max="9" width="16" customWidth="1"/>
    <col min="10" max="10" width="18" customWidth="1"/>
    <col min="11" max="11" width="60" customWidth="1"/>
    <col min="12" max="12" width="22" customWidth="1"/>
    <col min="13" max="14" width="24" customWidth="1"/>
    <col min="15" max="15" width="18" customWidth="1"/>
    <col min="16" max="16" width="20" customWidth="1"/>
    <col min="17" max="17" width="36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42" customHeight="1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18" customHeight="1" spans="1:1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4" t="s">
        <v>3</v>
      </c>
      <c r="M3" s="4"/>
      <c r="N3" s="4"/>
      <c r="O3" s="4"/>
      <c r="P3" s="4"/>
      <c r="Q3" s="4"/>
    </row>
    <row r="4" ht="48" customHeight="1" spans="1:17" x14ac:dyDescent="0.2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6" t="s">
        <v>15</v>
      </c>
      <c r="M4" s="6" t="s">
        <v>16</v>
      </c>
      <c r="N4" s="6" t="s">
        <v>17</v>
      </c>
      <c r="O4" s="6" t="s">
        <v>18</v>
      </c>
      <c r="P4" s="6" t="s">
        <v>19</v>
      </c>
      <c r="Q4" s="6" t="s">
        <v>20</v>
      </c>
    </row>
    <row r="5" ht="54" customHeight="1" spans="1:17" x14ac:dyDescent="0.25">
      <c r="A5" s="7" t="s">
        <v>21</v>
      </c>
      <c r="B5" s="8" t="s">
        <v>22</v>
      </c>
      <c r="C5" s="9" t="s">
        <v>23</v>
      </c>
      <c r="D5" s="10">
        <v>45955.625</v>
      </c>
      <c r="E5" s="11">
        <v>125.88</v>
      </c>
      <c r="F5" s="8" t="s">
        <v>24</v>
      </c>
      <c r="G5" s="8" t="s">
        <v>25</v>
      </c>
      <c r="H5" s="8" t="s">
        <v>26</v>
      </c>
      <c r="I5" s="8" t="s">
        <v>27</v>
      </c>
      <c r="J5" s="8" t="s">
        <v>28</v>
      </c>
      <c r="K5" s="8" t="s">
        <v>29</v>
      </c>
      <c r="L5" s="12"/>
      <c r="M5" s="12"/>
      <c r="N5" s="12"/>
      <c r="O5" s="12"/>
      <c r="P5" s="12"/>
      <c r="Q5" s="12"/>
    </row>
    <row r="6" ht="54" customHeight="1" spans="1:17" x14ac:dyDescent="0.25">
      <c r="A6" s="7" t="s">
        <v>30</v>
      </c>
      <c r="B6" s="8" t="s">
        <v>31</v>
      </c>
      <c r="C6" s="9" t="s">
        <v>32</v>
      </c>
      <c r="D6" s="10">
        <v>45957.625</v>
      </c>
      <c r="E6" s="11">
        <v>84.2</v>
      </c>
      <c r="F6" s="8" t="s">
        <v>24</v>
      </c>
      <c r="G6" s="8" t="s">
        <v>25</v>
      </c>
      <c r="H6" s="8" t="s">
        <v>33</v>
      </c>
      <c r="I6" s="8" t="s">
        <v>27</v>
      </c>
      <c r="J6" s="8" t="s">
        <v>28</v>
      </c>
      <c r="K6" s="8" t="s">
        <v>34</v>
      </c>
      <c r="L6" s="12"/>
      <c r="M6" s="12"/>
      <c r="N6" s="12"/>
      <c r="O6" s="12"/>
      <c r="P6" s="12"/>
      <c r="Q6" s="12"/>
    </row>
    <row r="7" ht="54" customHeight="1" spans="1:17" x14ac:dyDescent="0.25">
      <c r="A7" s="7" t="s">
        <v>35</v>
      </c>
      <c r="B7" s="8" t="s">
        <v>36</v>
      </c>
      <c r="C7" s="9" t="s">
        <v>37</v>
      </c>
      <c r="D7" s="10">
        <v>45958.625</v>
      </c>
      <c r="E7" s="11">
        <v>25</v>
      </c>
      <c r="F7" s="8" t="s">
        <v>24</v>
      </c>
      <c r="G7" s="8" t="s">
        <v>25</v>
      </c>
      <c r="H7" s="8" t="s">
        <v>38</v>
      </c>
      <c r="I7" s="8" t="s">
        <v>27</v>
      </c>
      <c r="J7" s="8" t="s">
        <v>28</v>
      </c>
      <c r="K7" s="8" t="s">
        <v>39</v>
      </c>
      <c r="L7" s="12"/>
      <c r="M7" s="12"/>
      <c r="N7" s="12"/>
      <c r="O7" s="12"/>
      <c r="P7" s="12"/>
      <c r="Q7" s="12"/>
    </row>
    <row r="8" ht="64" customHeight="1" spans="1:17" x14ac:dyDescent="0.25">
      <c r="A8" s="7" t="s">
        <v>40</v>
      </c>
      <c r="B8" s="8" t="s">
        <v>41</v>
      </c>
      <c r="C8" s="9" t="s">
        <v>42</v>
      </c>
      <c r="D8" s="10">
        <v>45959.625</v>
      </c>
      <c r="E8" s="11">
        <v>25.98</v>
      </c>
      <c r="F8" s="8" t="s">
        <v>24</v>
      </c>
      <c r="G8" s="8" t="s">
        <v>25</v>
      </c>
      <c r="H8" s="8" t="s">
        <v>43</v>
      </c>
      <c r="I8" s="8" t="s">
        <v>27</v>
      </c>
      <c r="J8" s="8" t="s">
        <v>28</v>
      </c>
      <c r="K8" s="8" t="s">
        <v>44</v>
      </c>
      <c r="L8" s="12"/>
      <c r="M8" s="12"/>
      <c r="N8" s="12"/>
      <c r="O8" s="12"/>
      <c r="P8" s="12"/>
      <c r="Q8" s="12"/>
    </row>
    <row r="9" ht="54" customHeight="1" spans="1:17" x14ac:dyDescent="0.25">
      <c r="A9" s="7" t="s">
        <v>45</v>
      </c>
      <c r="B9" s="8" t="s">
        <v>46</v>
      </c>
      <c r="C9" s="9" t="s">
        <v>47</v>
      </c>
      <c r="D9" s="10">
        <v>45980.625</v>
      </c>
      <c r="E9" s="11">
        <v>112.22</v>
      </c>
      <c r="F9" s="8" t="s">
        <v>24</v>
      </c>
      <c r="G9" s="8" t="s">
        <v>25</v>
      </c>
      <c r="H9" s="8" t="s">
        <v>48</v>
      </c>
      <c r="I9" s="8" t="s">
        <v>27</v>
      </c>
      <c r="J9" s="8" t="s">
        <v>28</v>
      </c>
      <c r="K9" s="8" t="s">
        <v>49</v>
      </c>
      <c r="L9" s="12"/>
      <c r="M9" s="12"/>
      <c r="N9" s="12"/>
      <c r="O9" s="12"/>
      <c r="P9" s="12"/>
      <c r="Q9" s="12"/>
    </row>
    <row r="10" ht="54" customHeight="1" spans="1:17" x14ac:dyDescent="0.25">
      <c r="A10" s="7" t="s">
        <v>50</v>
      </c>
      <c r="B10" s="8" t="s">
        <v>51</v>
      </c>
      <c r="C10" s="9" t="s">
        <v>52</v>
      </c>
      <c r="D10" s="10">
        <v>46130.625</v>
      </c>
      <c r="E10" s="11">
        <v>143</v>
      </c>
      <c r="F10" s="8" t="s">
        <v>24</v>
      </c>
      <c r="G10" s="8" t="s">
        <v>25</v>
      </c>
      <c r="H10" s="8" t="s">
        <v>53</v>
      </c>
      <c r="I10" s="8" t="s">
        <v>27</v>
      </c>
      <c r="J10" s="8" t="s">
        <v>28</v>
      </c>
      <c r="K10" s="8" t="s">
        <v>54</v>
      </c>
      <c r="L10" s="12"/>
      <c r="M10" s="12"/>
      <c r="N10" s="12"/>
      <c r="O10" s="12"/>
      <c r="P10" s="12"/>
      <c r="Q10" s="12"/>
    </row>
    <row r="11" ht="54" customHeight="1" spans="1:17" x14ac:dyDescent="0.25">
      <c r="A11" s="7" t="s">
        <v>55</v>
      </c>
      <c r="B11" s="8" t="s">
        <v>56</v>
      </c>
      <c r="C11" s="9" t="s">
        <v>57</v>
      </c>
      <c r="D11" s="10">
        <v>46140.625</v>
      </c>
      <c r="E11" s="11">
        <v>104.4</v>
      </c>
      <c r="F11" s="8" t="s">
        <v>24</v>
      </c>
      <c r="G11" s="8" t="s">
        <v>25</v>
      </c>
      <c r="H11" s="8" t="s">
        <v>58</v>
      </c>
      <c r="I11" s="8" t="s">
        <v>27</v>
      </c>
      <c r="J11" s="8" t="s">
        <v>28</v>
      </c>
      <c r="K11" s="8" t="s">
        <v>59</v>
      </c>
      <c r="L11" s="12"/>
      <c r="M11" s="12"/>
      <c r="N11" s="12"/>
      <c r="O11" s="12"/>
      <c r="P11" s="12"/>
      <c r="Q11" s="12"/>
    </row>
    <row r="12" ht="64" customHeight="1" spans="1:17" x14ac:dyDescent="0.25">
      <c r="A12" s="7" t="s">
        <v>60</v>
      </c>
      <c r="B12" s="8" t="s">
        <v>61</v>
      </c>
      <c r="C12" s="9" t="s">
        <v>62</v>
      </c>
      <c r="D12" s="10">
        <v>46244.625</v>
      </c>
      <c r="E12" s="11">
        <v>255.3</v>
      </c>
      <c r="F12" s="8" t="s">
        <v>63</v>
      </c>
      <c r="G12" s="8" t="s">
        <v>64</v>
      </c>
      <c r="H12" s="8" t="s">
        <v>65</v>
      </c>
      <c r="I12" s="8" t="s">
        <v>27</v>
      </c>
      <c r="J12" s="8" t="s">
        <v>28</v>
      </c>
      <c r="K12" s="8" t="s">
        <v>66</v>
      </c>
      <c r="L12" s="12"/>
      <c r="M12" s="12"/>
      <c r="N12" s="12"/>
      <c r="O12" s="12"/>
      <c r="P12" s="12"/>
      <c r="Q12" s="12"/>
    </row>
    <row r="13" ht="54" customHeight="1" spans="1:17" x14ac:dyDescent="0.25">
      <c r="A13" s="7" t="s">
        <v>67</v>
      </c>
      <c r="B13" s="8" t="s">
        <v>68</v>
      </c>
      <c r="C13" s="9" t="s">
        <v>69</v>
      </c>
      <c r="D13" s="10">
        <v>46260.625</v>
      </c>
      <c r="E13" s="11">
        <v>149.38</v>
      </c>
      <c r="F13" s="8" t="s">
        <v>24</v>
      </c>
      <c r="G13" s="8" t="s">
        <v>25</v>
      </c>
      <c r="H13" s="8" t="s">
        <v>70</v>
      </c>
      <c r="I13" s="8" t="s">
        <v>27</v>
      </c>
      <c r="J13" s="8" t="s">
        <v>28</v>
      </c>
      <c r="K13" s="8" t="s">
        <v>71</v>
      </c>
      <c r="L13" s="12"/>
      <c r="M13" s="12"/>
      <c r="N13" s="12"/>
      <c r="O13" s="12"/>
      <c r="P13" s="12"/>
      <c r="Q13" s="12"/>
    </row>
    <row r="14" ht="54" customHeight="1" spans="1:17" x14ac:dyDescent="0.25">
      <c r="A14" s="7" t="s">
        <v>72</v>
      </c>
      <c r="B14" s="8" t="s">
        <v>73</v>
      </c>
      <c r="C14" s="9" t="s">
        <v>74</v>
      </c>
      <c r="D14" s="10">
        <v>46265.625</v>
      </c>
      <c r="E14" s="11">
        <v>443.95</v>
      </c>
      <c r="F14" s="8" t="s">
        <v>24</v>
      </c>
      <c r="G14" s="8" t="s">
        <v>25</v>
      </c>
      <c r="H14" s="8" t="s">
        <v>75</v>
      </c>
      <c r="I14" s="8" t="s">
        <v>27</v>
      </c>
      <c r="J14" s="8" t="s">
        <v>28</v>
      </c>
      <c r="K14" s="8" t="s">
        <v>76</v>
      </c>
      <c r="L14" s="12"/>
      <c r="M14" s="12"/>
      <c r="N14" s="12"/>
      <c r="O14" s="12"/>
      <c r="P14" s="12"/>
      <c r="Q14" s="12"/>
    </row>
    <row r="15" ht="78" customHeight="1" spans="1:17" x14ac:dyDescent="0.25">
      <c r="A15" s="7" t="s">
        <v>77</v>
      </c>
      <c r="B15" s="8" t="s">
        <v>78</v>
      </c>
      <c r="C15" s="9" t="s">
        <v>79</v>
      </c>
      <c r="D15" s="10">
        <v>45575.625</v>
      </c>
      <c r="E15" s="11">
        <v>137.28</v>
      </c>
      <c r="F15" s="8" t="s">
        <v>80</v>
      </c>
      <c r="G15" s="8" t="s">
        <v>81</v>
      </c>
      <c r="H15" s="8" t="s">
        <v>82</v>
      </c>
      <c r="I15" s="8" t="s">
        <v>27</v>
      </c>
      <c r="J15" s="8" t="s">
        <v>28</v>
      </c>
      <c r="K15" s="8" t="s">
        <v>83</v>
      </c>
      <c r="L15" s="12"/>
      <c r="M15" s="12"/>
      <c r="N15" s="12"/>
      <c r="O15" s="12"/>
      <c r="P15" s="12"/>
      <c r="Q15" s="12"/>
    </row>
    <row r="16" ht="92" customHeight="1" spans="1:17" x14ac:dyDescent="0.25">
      <c r="A16" s="7" t="s">
        <v>84</v>
      </c>
      <c r="B16" s="8" t="s">
        <v>85</v>
      </c>
      <c r="C16" s="9" t="s">
        <v>86</v>
      </c>
      <c r="D16" s="10">
        <v>45603.625</v>
      </c>
      <c r="E16" s="11">
        <v>150</v>
      </c>
      <c r="F16" s="8" t="s">
        <v>24</v>
      </c>
      <c r="G16" s="8" t="s">
        <v>25</v>
      </c>
      <c r="H16" s="8" t="s">
        <v>87</v>
      </c>
      <c r="I16" s="8" t="s">
        <v>27</v>
      </c>
      <c r="J16" s="8" t="s">
        <v>28</v>
      </c>
      <c r="K16" s="8" t="s">
        <v>88</v>
      </c>
      <c r="L16" s="12"/>
      <c r="M16" s="12"/>
      <c r="N16" s="12"/>
      <c r="O16" s="12"/>
      <c r="P16" s="12"/>
      <c r="Q16" s="12"/>
    </row>
    <row r="17" ht="54" customHeight="1" spans="1:17" x14ac:dyDescent="0.25">
      <c r="A17" s="7" t="s">
        <v>89</v>
      </c>
      <c r="B17" s="8" t="s">
        <v>90</v>
      </c>
      <c r="C17" s="9" t="s">
        <v>91</v>
      </c>
      <c r="D17" s="10">
        <v>45898.625</v>
      </c>
      <c r="E17" s="11">
        <v>161.3</v>
      </c>
      <c r="F17" s="8" t="s">
        <v>24</v>
      </c>
      <c r="G17" s="8" t="s">
        <v>25</v>
      </c>
      <c r="H17" s="8" t="s">
        <v>92</v>
      </c>
      <c r="I17" s="8" t="s">
        <v>27</v>
      </c>
      <c r="J17" s="8" t="s">
        <v>28</v>
      </c>
      <c r="K17" s="8" t="s">
        <v>93</v>
      </c>
      <c r="L17" s="12"/>
      <c r="M17" s="12"/>
      <c r="N17" s="12"/>
      <c r="O17" s="12"/>
      <c r="P17" s="12"/>
      <c r="Q17" s="12"/>
    </row>
    <row r="18" ht="54" customHeight="1" spans="1:17" x14ac:dyDescent="0.25">
      <c r="A18" s="7" t="s">
        <v>94</v>
      </c>
      <c r="B18" s="8" t="s">
        <v>95</v>
      </c>
      <c r="C18" s="9" t="s">
        <v>96</v>
      </c>
      <c r="D18" s="10">
        <v>45908.625</v>
      </c>
      <c r="E18" s="11">
        <v>445.1</v>
      </c>
      <c r="F18" s="8" t="s">
        <v>24</v>
      </c>
      <c r="G18" s="8" t="s">
        <v>25</v>
      </c>
      <c r="H18" s="8" t="s">
        <v>97</v>
      </c>
      <c r="I18" s="8" t="s">
        <v>27</v>
      </c>
      <c r="J18" s="8" t="s">
        <v>28</v>
      </c>
      <c r="K18" s="8" t="s">
        <v>98</v>
      </c>
      <c r="L18" s="12"/>
      <c r="M18" s="12"/>
      <c r="N18" s="12"/>
      <c r="O18" s="12"/>
      <c r="P18" s="12"/>
      <c r="Q18" s="12"/>
    </row>
    <row r="19" ht="54" customHeight="1" spans="1:17" x14ac:dyDescent="0.25">
      <c r="A19" s="7" t="s">
        <v>99</v>
      </c>
      <c r="B19" s="8" t="s">
        <v>100</v>
      </c>
      <c r="C19" s="9" t="s">
        <v>101</v>
      </c>
      <c r="D19" s="10">
        <v>45996.625</v>
      </c>
      <c r="E19" s="11">
        <v>50</v>
      </c>
      <c r="F19" s="8" t="s">
        <v>24</v>
      </c>
      <c r="G19" s="8" t="s">
        <v>25</v>
      </c>
      <c r="H19" s="8" t="s">
        <v>102</v>
      </c>
      <c r="I19" s="8" t="s">
        <v>27</v>
      </c>
      <c r="J19" s="8" t="s">
        <v>28</v>
      </c>
      <c r="K19" s="8" t="s">
        <v>103</v>
      </c>
      <c r="L19" s="12"/>
      <c r="M19" s="12"/>
      <c r="N19" s="12"/>
      <c r="O19" s="12"/>
      <c r="P19" s="12"/>
      <c r="Q19" s="12"/>
    </row>
    <row r="20" ht="64" customHeight="1" spans="1:17" x14ac:dyDescent="0.25">
      <c r="A20" s="7" t="s">
        <v>104</v>
      </c>
      <c r="B20" s="8" t="s">
        <v>105</v>
      </c>
      <c r="C20" s="9" t="s">
        <v>106</v>
      </c>
      <c r="D20" s="10">
        <v>46147.625</v>
      </c>
      <c r="E20" s="11">
        <v>258.63</v>
      </c>
      <c r="F20" s="8" t="s">
        <v>24</v>
      </c>
      <c r="G20" s="8" t="s">
        <v>25</v>
      </c>
      <c r="H20" s="8" t="s">
        <v>107</v>
      </c>
      <c r="I20" s="8" t="s">
        <v>27</v>
      </c>
      <c r="J20" s="8" t="s">
        <v>28</v>
      </c>
      <c r="K20" s="8" t="s">
        <v>108</v>
      </c>
      <c r="L20" s="12"/>
      <c r="M20" s="12"/>
      <c r="N20" s="12"/>
      <c r="O20" s="12"/>
      <c r="P20" s="12"/>
      <c r="Q20" s="12"/>
    </row>
    <row r="21" ht="64" customHeight="1" spans="1:17" x14ac:dyDescent="0.25">
      <c r="A21" s="7" t="s">
        <v>109</v>
      </c>
      <c r="B21" s="8" t="s">
        <v>105</v>
      </c>
      <c r="C21" s="9" t="s">
        <v>110</v>
      </c>
      <c r="D21" s="10">
        <v>46153.625</v>
      </c>
      <c r="E21" s="11">
        <v>278.56</v>
      </c>
      <c r="F21" s="8" t="s">
        <v>24</v>
      </c>
      <c r="G21" s="8" t="s">
        <v>25</v>
      </c>
      <c r="H21" s="8" t="s">
        <v>111</v>
      </c>
      <c r="I21" s="8" t="s">
        <v>27</v>
      </c>
      <c r="J21" s="8" t="s">
        <v>28</v>
      </c>
      <c r="K21" s="8" t="s">
        <v>112</v>
      </c>
      <c r="L21" s="12"/>
      <c r="M21" s="12"/>
      <c r="N21" s="12"/>
      <c r="O21" s="12"/>
      <c r="P21" s="12"/>
      <c r="Q21" s="12"/>
    </row>
    <row r="23" spans="2:5" x14ac:dyDescent="0.25">
      <c r="B23" s="13" t="s">
        <v>113</v>
      </c>
      <c r="E23" s="14">
        <f>SUM(E5:E21)</f>
      </c>
    </row>
  </sheetData>
  <autoFilter ref="A4:Q21"/>
  <mergeCells count="4">
    <mergeCell ref="A1:Q1"/>
    <mergeCell ref="A2:Q2"/>
    <mergeCell ref="A3:K3"/>
    <mergeCell ref="L3:Q3"/>
  </mergeCells>
  <conditionalFormatting sqref="M5:M21">
    <cfRule type="expression" dxfId="0" priority="1">
      <formula>AND($L5="Oferta para a Igreja",$M5="")</formula>
    </cfRule>
    <cfRule type="expression" dxfId="1" priority="2">
      <formula>$L5&lt;&gt;"Oferta para a Igreja"</formula>
    </cfRule>
  </conditionalFormatting>
  <conditionalFormatting sqref="N5:N21">
    <cfRule type="expression" dxfId="2" priority="1">
      <formula>AND($L5="Reembolso",$N5="")</formula>
    </cfRule>
    <cfRule type="expression" dxfId="3" priority="2">
      <formula>$L5&lt;&gt;"Reembolso"</formula>
    </cfRule>
  </conditionalFormatting>
  <conditionalFormatting sqref="O5:O21">
    <cfRule type="expression" dxfId="4" priority="1">
      <formula>AND($L5="Reembolso",$O5="")</formula>
    </cfRule>
    <cfRule type="expression" dxfId="5" priority="2">
      <formula>$L5&lt;&gt;"Reembolso"</formula>
    </cfRule>
  </conditionalFormatting>
  <conditionalFormatting sqref="P5:P21">
    <cfRule type="expression" dxfId="6" priority="1">
      <formula>AND($L5="Pago de Outra Forma",$P5="")</formula>
    </cfRule>
    <cfRule type="expression" dxfId="7" priority="2">
      <formula>$L5&lt;&gt;"Pago de Outra Forma"</formula>
    </cfRule>
  </conditionalFormatting>
  <conditionalFormatting sqref="L5:L21">
    <cfRule type="expression" dxfId="8" priority="3">
      <formula>$L5=""</formula>
    </cfRule>
  </conditionalFormatting>
  <dataValidations count="6">
    <dataValidation type="list" allowBlank="1" showErrorMessage="1" errorTitle="Valor inválido" error="Escolha uma das opções da lista." sqref="L10:L21">
      <formula1>"Oferta para a Igreja,Reembolso,Pago de Outra Forma,Precisa Investigar"</formula1>
    </dataValidation>
    <dataValidation type="list" allowBlank="1" showErrorMessage="1" errorTitle="Valor inválido" error="Escolha uma das opções da lista." sqref="L5:L21">
      <formula1>"Oferta para a Igreja,Reembolso,Pago de Outra Forma,Precisa Investigar"</formula1>
    </dataValidation>
    <dataValidation type="list" allowBlank="1" showErrorMessage="1" errorTitle="Valor inválido" error="Escolha uma das opções da lista." sqref="O10:O21">
      <formula1>"Sim,Não"</formula1>
    </dataValidation>
    <dataValidation type="list" allowBlank="1" showErrorMessage="1" errorTitle="Valor inválido" error="Escolha uma das opções da lista." sqref="O5:O21">
      <formula1>"Sim,Não"</formula1>
    </dataValidation>
    <dataValidation type="list" allowBlank="1" showErrorMessage="1" errorTitle="Valor inválido" error="Escolha uma das opções da lista." sqref="P10:P21">
      <formula1>"PIX,TED,Dinheiro,Cartão,Outro"</formula1>
    </dataValidation>
    <dataValidation type="list" allowBlank="1" showErrorMessage="1" errorTitle="Valor inválido" error="Escolha uma das opções da lista." sqref="P5:P21">
      <formula1>"PIX,TED,Dinheiro,Cartão,Outro"</formula1>
    </dataValidation>
  </dataValidation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C17"/>
  <sheetFormatPr defaultRowHeight="15" outlineLevelRow="0" outlineLevelCol="0" x14ac:dyDescent="55"/>
  <cols>
    <col min="1" max="1" width="34" customWidth="1"/>
    <col min="2" max="2" width="10" customWidth="1"/>
    <col min="3" max="3" width="16" customWidth="1"/>
  </cols>
  <sheetData>
    <row r="1" spans="1:1" x14ac:dyDescent="0.25">
      <c r="A1" s="15" t="s">
        <v>114</v>
      </c>
    </row>
    <row r="3" spans="1:3" x14ac:dyDescent="0.25">
      <c r="A3" s="16" t="s">
        <v>15</v>
      </c>
      <c r="B3" s="16" t="s">
        <v>115</v>
      </c>
      <c r="C3" s="16" t="s">
        <v>8</v>
      </c>
    </row>
    <row r="4" spans="1:3" x14ac:dyDescent="0.25">
      <c r="A4" s="17" t="s">
        <v>116</v>
      </c>
      <c r="B4" s="17">
        <f>COUNTIF(Decisão!$L$5:$L$21,A4)</f>
      </c>
      <c r="C4" s="18">
        <f>SUMIF(Decisão!$L$5:$L$21,A4,Decisão!$E$5:$E$21)</f>
      </c>
    </row>
    <row r="5" spans="1:3" x14ac:dyDescent="0.25">
      <c r="A5" s="17" t="s">
        <v>117</v>
      </c>
      <c r="B5" s="17">
        <f>COUNTIF(Decisão!$L$5:$L$21,A5)</f>
      </c>
      <c r="C5" s="18">
        <f>SUMIF(Decisão!$L$5:$L$21,A5,Decisão!$E$5:$E$21)</f>
      </c>
    </row>
    <row r="6" spans="1:3" x14ac:dyDescent="0.25">
      <c r="A6" s="17" t="s">
        <v>118</v>
      </c>
      <c r="B6" s="17">
        <f>COUNTIF(Decisão!$L$5:$L$21,A6)</f>
      </c>
      <c r="C6" s="18">
        <f>SUMIF(Decisão!$L$5:$L$21,A6,Decisão!$E$5:$E$21)</f>
      </c>
    </row>
    <row r="7" spans="1:3" x14ac:dyDescent="0.25">
      <c r="A7" s="17" t="s">
        <v>119</v>
      </c>
      <c r="B7" s="17">
        <f>COUNTIF(Decisão!$L$5:$L$21,A7)</f>
      </c>
      <c r="C7" s="18">
        <f>SUMIF(Decisão!$L$5:$L$21,A7,Decisão!$E$5:$E$21)</f>
      </c>
    </row>
    <row r="8" spans="1:3" x14ac:dyDescent="0.25">
      <c r="A8" s="17" t="s">
        <v>120</v>
      </c>
      <c r="B8" s="17">
        <f>COUNTBLANK(Decisão!$L$5:$L$21)</f>
      </c>
      <c r="C8" s="18">
        <f>SUMIF(Decisão!$L$5:$L$21,"",Decisão!$E$5:$E$21)</f>
      </c>
    </row>
    <row r="9" spans="1:3" x14ac:dyDescent="0.25">
      <c r="A9" s="19" t="s">
        <v>121</v>
      </c>
      <c r="B9" s="19">
        <f>SUM(B4:B8)</f>
      </c>
      <c r="C9" s="20">
        <f>SUM(C4:C8)</f>
      </c>
    </row>
    <row r="11" spans="1:1" x14ac:dyDescent="0.25">
      <c r="A11" s="21" t="s">
        <v>122</v>
      </c>
    </row>
    <row r="12" spans="1:2" x14ac:dyDescent="0.25">
      <c r="A12" s="17" t="s">
        <v>123</v>
      </c>
      <c r="B12" s="17">
        <f>COUNTIFS(Decisão!$L$5:$L$21,"Oferta para a Igreja",Decisão!$M$5:$M$21,"")</f>
      </c>
    </row>
    <row r="13" spans="1:2" x14ac:dyDescent="0.25">
      <c r="A13" s="17" t="s">
        <v>124</v>
      </c>
      <c r="B13" s="17">
        <f>COUNTIFS(Decisão!$L$5:$L$21,"Reembolso",Decisão!$N$5:$N$21,"")</f>
      </c>
    </row>
    <row r="14" spans="1:2" x14ac:dyDescent="0.25">
      <c r="A14" s="17" t="s">
        <v>125</v>
      </c>
      <c r="B14" s="17">
        <f>COUNTIFS(Decisão!$L$5:$L$21,"Reembolso",Decisão!$O$5:$O$21,"")</f>
      </c>
    </row>
    <row r="15" spans="1:2" x14ac:dyDescent="0.25">
      <c r="A15" s="17" t="s">
        <v>126</v>
      </c>
      <c r="B15" s="17">
        <f>COUNTIFS(Decisão!$L$5:$L$21,"Pago de Outra Forma",Decisão!$P$5:$P$21,"")</f>
      </c>
    </row>
    <row r="17" spans="1:1" x14ac:dyDescent="0.25">
      <c r="A17" s="22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A6D00"/>
  </sheetPr>
  <dimension ref="A1:C9"/>
  <sheetFormatPr defaultRowHeight="15" outlineLevelRow="0" outlineLevelCol="0" x14ac:dyDescent="55"/>
  <cols>
    <col min="1" max="1" width="24" customWidth="1"/>
    <col min="2" max="2" width="70" customWidth="1"/>
    <col min="3" max="3" width="62" customWidth="1"/>
  </cols>
  <sheetData>
    <row r="1" spans="1:1" x14ac:dyDescent="0.25">
      <c r="A1" s="15" t="s">
        <v>128</v>
      </c>
    </row>
    <row r="3" spans="1:3" x14ac:dyDescent="0.25">
      <c r="A3" s="16" t="s">
        <v>15</v>
      </c>
      <c r="B3" s="16" t="s">
        <v>129</v>
      </c>
      <c r="C3" s="16" t="s">
        <v>130</v>
      </c>
    </row>
    <row r="4" ht="62" customHeight="1" spans="1:3" x14ac:dyDescent="0.25">
      <c r="A4" s="7" t="s">
        <v>116</v>
      </c>
      <c r="B4" s="8" t="s">
        <v>131</v>
      </c>
      <c r="C4" s="8" t="s">
        <v>132</v>
      </c>
    </row>
    <row r="5" ht="62" customHeight="1" spans="1:3" x14ac:dyDescent="0.25">
      <c r="A5" s="7" t="s">
        <v>117</v>
      </c>
      <c r="B5" s="8" t="s">
        <v>133</v>
      </c>
      <c r="C5" s="8" t="s">
        <v>134</v>
      </c>
    </row>
    <row r="6" ht="62" customHeight="1" spans="1:3" x14ac:dyDescent="0.25">
      <c r="A6" s="7" t="s">
        <v>118</v>
      </c>
      <c r="B6" s="8" t="s">
        <v>135</v>
      </c>
      <c r="C6" s="8" t="s">
        <v>136</v>
      </c>
    </row>
    <row r="7" ht="62" customHeight="1" spans="1:3" x14ac:dyDescent="0.25">
      <c r="A7" s="7" t="s">
        <v>119</v>
      </c>
      <c r="B7" s="8" t="s">
        <v>137</v>
      </c>
      <c r="C7" s="8" t="s">
        <v>138</v>
      </c>
    </row>
    <row r="9" spans="1:1" x14ac:dyDescent="0.25">
      <c r="A9" s="23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Decisão</vt:lpstr>
      <vt:lpstr>Resumo</vt:lpstr>
      <vt:lpstr>Como preencher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DiakoniaApp</dc:creator>
  <dc:title/>
  <dc:subject/>
  <dc:description/>
  <cp:keywords/>
  <cp:category/>
  <cp:lastModifiedBy>Unknown</cp:lastModifiedBy>
  <dcterms:created xsi:type="dcterms:W3CDTF">2026-10-13T14:25:25Z</dcterms:created>
  <dcterms:modified xsi:type="dcterms:W3CDTF">2026-10-13T14:25:25Z</dcterms:modified>
</cp:coreProperties>
</file>