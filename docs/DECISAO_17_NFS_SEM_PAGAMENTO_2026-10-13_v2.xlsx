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ão" state="visible" r:id="rId4"/>
    <sheet sheetId="2" name="Resumo" state="visible" r:id="rId5"/>
    <sheet sheetId="3" name="Pedido ao escritório" state="visible" r:id="rId6"/>
    <sheet sheetId="4" name="Como preencher" state="visible" r:id="rId7"/>
  </sheets>
  <calcPr calcId="171027"/>
</workbook>
</file>

<file path=xl/sharedStrings.xml><?xml version="1.0" encoding="utf-8"?>
<sst xmlns="http://schemas.openxmlformats.org/spreadsheetml/2006/main" count="352" uniqueCount="179">
  <si>
    <t>17 NFs sem pagamento identificado: planilha de decisão</t>
  </si>
  <si>
    <t>Levantamento de 13/10/2026 (saldo do escritório em 31/08/2026). Colunas A a N: o que o app, o escritório e a Receita Federal mostram. Colunas O a Q: rastreio pela chave da NF-e (a chave de 44 dígitos traz o CNPJ de quem emitiu). Colunas R a W (amarelas): a sua decisão; as que não se aplicam à Situação ficam cinza e as que faltam ficam laranja.</t>
  </si>
  <si>
    <t>O QUE SABEMOS</t>
  </si>
  <si>
    <t>RASTREAR PELA NF-e</t>
  </si>
  <si>
    <t>SUA DECISÃO</t>
  </si>
  <si>
    <t>ID</t>
  </si>
  <si>
    <t>Fornecedor</t>
  </si>
  <si>
    <t>CNPJ do emitente</t>
  </si>
  <si>
    <t>Endereço do emitente</t>
  </si>
  <si>
    <t>Nº da NF</t>
  </si>
  <si>
    <t>Data</t>
  </si>
  <si>
    <t>Valor (R$)</t>
  </si>
  <si>
    <t>Categoria atual</t>
  </si>
  <si>
    <t>Centro atual</t>
  </si>
  <si>
    <t>Descrição</t>
  </si>
  <si>
    <t>Existe documento anexado?</t>
  </si>
  <si>
    <t>Existe pagamento localizado?</t>
  </si>
  <si>
    <t>Observações</t>
  </si>
  <si>
    <t>Confiança e fonte do CNPJ e endereço</t>
  </si>
  <si>
    <t xml:space="preserve">Chave de acesso da NF-e
(44 dígitos; preencha)</t>
  </si>
  <si>
    <t xml:space="preserve">CNPJ pela chave
(automático)</t>
  </si>
  <si>
    <t xml:space="preserve">Consultar emitente
(automático)</t>
  </si>
  <si>
    <t>Situação</t>
  </si>
  <si>
    <t xml:space="preserve">Nome do doador
(se Oferta)</t>
  </si>
  <si>
    <t xml:space="preserve">Pessoa a reembolsar
(se Reembolso)</t>
  </si>
  <si>
    <t xml:space="preserve">Pagamento já realizado?
(se Reembolso)</t>
  </si>
  <si>
    <t xml:space="preserve">Forma de pagamento
(se Pago de Outra Forma)</t>
  </si>
  <si>
    <t>Sua observação</t>
  </si>
  <si>
    <t>NF-01</t>
  </si>
  <si>
    <t>RFC Comércio de Miudezas</t>
  </si>
  <si>
    <t>Não identificado</t>
  </si>
  <si>
    <t>—</t>
  </si>
  <si>
    <t>6942</t>
  </si>
  <si>
    <t>Sem lançamento no app</t>
  </si>
  <si>
    <t>NF 6942, RFC Comércio de Miudezas. Nota recebida e lançada pelo escritório na conta 211005 (fornecedores de bens materiais), ainda sem baixa.</t>
  </si>
  <si>
    <t>Não (a NF não está no app)</t>
  </si>
  <si>
    <t>Não</t>
  </si>
  <si>
    <t>Pelo nome: material diverso (miudezas). Fornecedor sem cadastro no app. Aberta há 310 dias em 31/08/2026.</t>
  </si>
  <si>
    <t>Não identificado só pelo nome. A busca por nome em bases públicas devolveu empresas de nome parecido, nenhuma confirmada. Use a chave de acesso da NF-e (colunas O a Q).</t>
  </si>
  <si>
    <t>NF-02</t>
  </si>
  <si>
    <t>Kalunga</t>
  </si>
  <si>
    <t>43.283.811/0001-50 (matriz)</t>
  </si>
  <si>
    <t>Rua da Mooca, 766, andares 4 e 5, Mooca, São Paulo/SP, CEP 03104-010. Tel. (11) 3346-9600. Razão social: KALUNGA SA.</t>
  </si>
  <si>
    <t>344169</t>
  </si>
  <si>
    <t>NF 344169, Kalunga. Nota recebida e lançada pelo escritório na conta 211005 (fornecedores de bens materiais), ainda sem baixa.</t>
  </si>
  <si>
    <t>Pela Receita: papelaria. Fornecedor sem cadastro no app. Aberta há 308 dias em 31/08/2026.</t>
  </si>
  <si>
    <t>Matriz confirmada na Receita (a razão social confere). A NF pode ter saído de uma filial (a Kalunga tem lojas no Rio, como Norte Shopping/Cachambi): a chave diz qual.</t>
  </si>
  <si>
    <t>NF-03</t>
  </si>
  <si>
    <t>Vira Verão Bazar</t>
  </si>
  <si>
    <t>64</t>
  </si>
  <si>
    <t>NF 64, Vira Verão Bazar. Nota recebida e lançada pelo escritório na conta 211005 (fornecedores de bens materiais), ainda sem baixa.</t>
  </si>
  <si>
    <t>Pelo nome: bazar, artigos diversos. Fornecedor sem cadastro no app. Aberta há 307 dias em 31/08/2026.</t>
  </si>
  <si>
    <t>NF-04</t>
  </si>
  <si>
    <t>Estação da Central Comércio de Doces e Bebidas</t>
  </si>
  <si>
    <t>66</t>
  </si>
  <si>
    <t>NF 66, Estação da Central Comércio de Doces e Bebidas. Nota recebida e lançada pelo escritório na conta 211005 (fornecedores de bens materiais), ainda sem baixa.</t>
  </si>
  <si>
    <t>Pelo nome: doces e bebidas (lanche ou evento). Fornecedor sem cadastro no app. Datas de 25 a 29/10/2025: quatro NFs pequenas na mesma semana (RFC, Kalunga, Vira Verão, Estação da Central). Aberta há 306 dias em 31/08/2026.</t>
  </si>
  <si>
    <t>NF-05</t>
  </si>
  <si>
    <t>Claudinei Pinhal dos Santos Comércio</t>
  </si>
  <si>
    <t>31606</t>
  </si>
  <si>
    <t>NF 31606, Claudinei Pinhal dos Santos Comércio. Nota recebida e lançada pelo escritório na conta 211005 (fornecedores de bens materiais), ainda sem baixa.</t>
  </si>
  <si>
    <t>Ramo não identificado pelo nome. Fornecedor sem cadastro no app. Aberta há 285 dias em 31/08/2026.</t>
  </si>
  <si>
    <t>NF-06</t>
  </si>
  <si>
    <t>SOS Sobrado Malhas</t>
  </si>
  <si>
    <t>3763</t>
  </si>
  <si>
    <t>NF 3763, SOS Sobrado Malhas. Nota recebida e lançada pelo escritório na conta 211005 (fornecedores de bens materiais), ainda sem baixa.</t>
  </si>
  <si>
    <t>Pelo nome: malhas e confecção. Fornecedor sem cadastro no app. Aberta há 135 dias em 31/08/2026.</t>
  </si>
  <si>
    <t>NF-07</t>
  </si>
  <si>
    <t>Tech Brasil Comércio e Serviços</t>
  </si>
  <si>
    <t>9922</t>
  </si>
  <si>
    <t>NF 9922, Tech Brasil Comércio e Serviços. Nota recebida e lançada pelo escritório na conta 211005 (fornecedores de bens materiais), ainda sem baixa.</t>
  </si>
  <si>
    <t>Pelo nome: comércio e serviços, provavelmente informática. Fornecedor sem cadastro no app. Aberta há 125 dias em 31/08/2026.</t>
  </si>
  <si>
    <t>NF-08</t>
  </si>
  <si>
    <t>Del Castilho Madeiras e Construção</t>
  </si>
  <si>
    <t>22.753.989/0001-47 (matriz)</t>
  </si>
  <si>
    <t>Rua Bispo Lacerda, 28, Del Castilho, Rio de Janeiro/RJ, CEP 21051-120. Tel. (21) 2501-3034. Razão social: DEL CASTILHO MADEIRAS E CONSTRUCAO LTDA; nome fantasia: ATACADAO DEL CASTILHO.</t>
  </si>
  <si>
    <t>24553</t>
  </si>
  <si>
    <t>Sem lançamento no app (histórico do fornecedor: Material de Consumo)</t>
  </si>
  <si>
    <t>(histórico do fornecedor: Administração · Ornamentação)</t>
  </si>
  <si>
    <t>NF 24553, Del Castilho Madeiras e Construção. Nota recebida e lançada pelo escritório na conta 211005 (fornecedores de bens materiais), ainda sem baixa.</t>
  </si>
  <si>
    <t>Pela Receita: comércio de materiais de construção (Atacadão Del Castilho). Fornecedor cadastrado. Tem 2 pagamentos em ago/2025 (R$ 159,00 e R$ 780,03, ambos na Caixinha), de outro período e de outro valor. Aberta há 21 dias em 31/08/2026.</t>
  </si>
  <si>
    <t>CNPJ do cadastro do app; razão social e endereço da Receita Federal (consulta de 13/10/2026). Situação: ativa.</t>
  </si>
  <si>
    <t>NF-09</t>
  </si>
  <si>
    <t>C Cadamuro Comércio de Utilidades Automotivas</t>
  </si>
  <si>
    <t>53836</t>
  </si>
  <si>
    <t>NF 53836, C Cadamuro Comércio de Utilidades Automotivas. Nota recebida e lançada pelo escritório na conta 211005 (fornecedores de bens materiais), ainda sem baixa.</t>
  </si>
  <si>
    <t>Pelo nome: utilidades automotivas. Fornecedor sem cadastro no app. Aberta há 5 dias em 31/08/2026.</t>
  </si>
  <si>
    <t>NF-10</t>
  </si>
  <si>
    <t>Goldensky Comércio Digital</t>
  </si>
  <si>
    <t>36.470.020/0002-54 (filial)</t>
  </si>
  <si>
    <t>Rua Amazonas da Silva, 271, Vila Guilherme, São Paulo/SP, CEP 02051-000. Tel. (11) 5061-0215. Razão social: GOLDENSKY COMERCIO DIGITAL LTDA.</t>
  </si>
  <si>
    <t>1621752</t>
  </si>
  <si>
    <t>NF 1621752, Goldensky Comércio Digital. Nota recebida e lançada pelo escritório na conta 211005 (fornecedores de bens materiais), ainda sem baixa.</t>
  </si>
  <si>
    <t>Pela Receita: comércio varejista de equipamentos e suprimentos de informática. Fornecedor cadastrado, sem nenhum lançamento. NF de 31/08: se foi paga em setembro, o app mostraria; não mostra. Aberta há 0 dias em 31/08/2026.</t>
  </si>
  <si>
    <t>CNPJ do cadastro do app; razão social e endereço da Receita Federal (consulta de 13/10/2026). Atenção: é uma FILIAL. Confirmar pela chave se a NF 1621752 saiu dela.</t>
  </si>
  <si>
    <t>NF-11</t>
  </si>
  <si>
    <t>D Flesh Serviços e Conveniências</t>
  </si>
  <si>
    <t>02.052.410/0001-01 (matriz)</t>
  </si>
  <si>
    <t>Largo Aluno Horácio Lucas, 17, loja 17-A, Engenho Velho, Rio de Janeiro/RJ, CEP 20271-180. Razão social: D FLESH SERVICOS E CONVENIENCIAS LTDA; nomes fantasia: KIMANIA, KIFOTOS, KIKASKINHA, KICOPIAS.</t>
  </si>
  <si>
    <t>25597</t>
  </si>
  <si>
    <t>Sem lançamento no app (histórico do fornecedor: Publicidade e Propaganda)</t>
  </si>
  <si>
    <t>(histórico do fornecedor: Administração · Institucional)</t>
  </si>
  <si>
    <t>NF 25597, D Flesh Serviços e Conveniências. Nota recebida e lançada pelo escritório na conta 211006 (fornecedores de bens e serviços), ainda sem baixa.</t>
  </si>
  <si>
    <t>Pela Receita: fotocópias (Kimania, Kifotos, Kicopias). Fornecedor cadastrado. Tem 6 pagamentos (R$ 1.270,00 no total); os mais próximos: R$ 250,00 em 07/11/2024 e R$ 100,00 em 26/03/2025. Nenhum de R$ 137,28. Aberta há 690 dias em 31/08/2026.</t>
  </si>
  <si>
    <t>CNPJ do cadastro do app; razão social e endereço da Receita Federal (consulta de 13/10/2026). Atividade: fotocópias.</t>
  </si>
  <si>
    <t>NF-12</t>
  </si>
  <si>
    <t>Paulo Cid Lopes Pinto</t>
  </si>
  <si>
    <t>184</t>
  </si>
  <si>
    <t>NF 184, Paulo Cid Lopes Pinto. Nota recebida e lançada pelo escritório na conta 211006 (fornecedores de bens e serviços), ainda sem baixa.</t>
  </si>
  <si>
    <t>Pessoa física ou MEI. Fornecedor sem cadastro. O app tem pagamentos que citam Paulo Cid nas observações, lançados como SOLTECX Construções e Soluções: R$ 160,00 (26/06/2024 e 18/07/2025), R$ 726,70 (06/02/2025), R$ 558,00 (24/03/2025) e R$ 210,00 (27/02/2026). Nenhum de R$ 150,00. Aberta há 662 dias em 31/08/2026.</t>
  </si>
  <si>
    <t>Não identificado só pelo nome. A busca por nome em bases públicas devolveu empresas de nome parecido, nenhuma confirmada. Use a chave de acesso da NF-e (colunas O a Q). Pessoa física ou MEI; o app registra pagamentos que citam Paulo Cid como SOLTECX Construções e Soluções (outro nome da mesma pessoa ou empresa?), sem CNPJ.</t>
  </si>
  <si>
    <t>NF-13</t>
  </si>
  <si>
    <t>R E M Áudio e Tecnologia</t>
  </si>
  <si>
    <t>1047</t>
  </si>
  <si>
    <t>NF 1047, R E M Áudio e Tecnologia. Nota recebida e lançada pelo escritório na conta 211006 (fornecedores de bens e serviços), ainda sem baixa.</t>
  </si>
  <si>
    <t>Pelo nome: áudio e tecnologia (equipamento ou serviço de som). Fornecedor sem cadastro no app. Aberta há 367 dias em 31/08/2026.</t>
  </si>
  <si>
    <t>NF-14</t>
  </si>
  <si>
    <t>Hotelaria Accor Brasil</t>
  </si>
  <si>
    <t>09.967.852/0001-27 (matriz)</t>
  </si>
  <si>
    <t>Avenida Doutora Ruth Cardoso, 7815, andares 9 e 10, Pinheiros, São Paulo/SP, CEP 05425-905. Tel. (11) 2089-6100. Razão social: HOTELARIA ACCOR BRASIL S/A.</t>
  </si>
  <si>
    <t>166376</t>
  </si>
  <si>
    <t>NF 166376, Hotelaria Accor Brasil. Nota recebida e lançada pelo escritório na conta 211006 (fornecedores de bens e serviços), ainda sem baixa.</t>
  </si>
  <si>
    <t>Pela Receita: hotéis. Provável viagem ou evento. Fornecedor sem cadastro no app. Aberta há 357 dias em 31/08/2026.</t>
  </si>
  <si>
    <t>Matriz confirmada na Receita (a razão social confere). Cada hotel tem CNPJ de filial (mesma raiz 09.967.852): a chave diz em qual hotel foi a hospedagem.</t>
  </si>
  <si>
    <t>NF-15</t>
  </si>
  <si>
    <t>Hidro Sistemas Contra Incêndio</t>
  </si>
  <si>
    <t>7392</t>
  </si>
  <si>
    <t>NF 7392, Hidro Sistemas Contra Incêndio. Nota recebida e lançada pelo escritório na conta 211006 (fornecedores de bens e serviços), ainda sem baixa.</t>
  </si>
  <si>
    <t>Pelo nome: serviço de combate a incêndio (extintores ou mangueiras). Fornecedor sem cadastro no app. Aberta há 269 dias em 31/08/2026.</t>
  </si>
  <si>
    <t>NF-16</t>
  </si>
  <si>
    <t>Castor Administração de Hotelaria</t>
  </si>
  <si>
    <t>230048</t>
  </si>
  <si>
    <t>NF 230048, Castor Administração de Hotelaria. Nota recebida e lançada pelo escritório na conta 211006 (fornecedores de bens e serviços), ainda sem baixa.</t>
  </si>
  <si>
    <t>Pelo nome: hospedagem (hotel). Provável viagem ou evento. Fornecedor sem cadastro no app. Duas NFs do mesmo hotel com 6 dias de diferença (esta e a 230334). Aberta há 118 dias em 31/08/2026.</t>
  </si>
  <si>
    <t>NF-17</t>
  </si>
  <si>
    <t>230334</t>
  </si>
  <si>
    <t>NF 230334, Castor Administração de Hotelaria. Nota recebida e lançada pelo escritório na conta 211006 (fornecedores de bens e serviços), ainda sem baixa.</t>
  </si>
  <si>
    <t>Pelo nome: hospedagem (hotel). Provável viagem ou evento. Fornecedor sem cadastro no app. Duas NFs do mesmo hotel com 6 dias de diferença (esta e a 230048). Aberta há 112 dias em 31/08/2026.</t>
  </si>
  <si>
    <t>Total das 17 NFs</t>
  </si>
  <si>
    <t>Andamento da decisão</t>
  </si>
  <si>
    <t>NFs</t>
  </si>
  <si>
    <t>Oferta para a Igreja</t>
  </si>
  <si>
    <t>Reembolso</t>
  </si>
  <si>
    <t>Pago de Outra Forma</t>
  </si>
  <si>
    <t>Precisa Investigar</t>
  </si>
  <si>
    <t>Ainda sem decisão</t>
  </si>
  <si>
    <t>Total</t>
  </si>
  <si>
    <t>Linhas com dados faltando</t>
  </si>
  <si>
    <t>Oferta sem nome do doador</t>
  </si>
  <si>
    <t>Reembolso sem pessoa a reembolsar</t>
  </si>
  <si>
    <t>Reembolso sem 'pagamento já realizado?'</t>
  </si>
  <si>
    <t>Pago de outra forma sem a forma</t>
  </si>
  <si>
    <t>Rastreio do emitente</t>
  </si>
  <si>
    <t>NFs com CNPJ identificado</t>
  </si>
  <si>
    <t>NFs ainda sem CNPJ</t>
  </si>
  <si>
    <t>NFs com chave preenchida</t>
  </si>
  <si>
    <t>Pronto para o 2º relatório quando 'Ainda sem decisão' e todas as linhas faltando forem zero.</t>
  </si>
  <si>
    <t>Texto para enviar ao escritório e lista das NFs</t>
  </si>
  <si>
    <t>Olá. Para rastrearmos e baixarmos as pendências das contas 211005 e 211006 (saldo de 31/08/2026), peço o relatório das NF-e recebidas listadas abaixo, com a CHAVE DE ACESSO (44 dígitos) ou o XML de cada uma, e, quando houver, o CNPJ e o endereço do emitente. Em especial para Kalunga e Hotelaria Accor, que têm várias filiais: precisamos saber a unidade (loja ou hotel) que emitiu a nota. Obrigada.</t>
  </si>
  <si>
    <t>Chave de acesso (o escritório preenche)</t>
  </si>
  <si>
    <t/>
  </si>
  <si>
    <t>Como escolher a Situação</t>
  </si>
  <si>
    <t>Quando escolher</t>
  </si>
  <si>
    <t>O que isso significa para a contabilidade</t>
  </si>
  <si>
    <t>Alguém comprou com dinheiro próprio, a NF saiu no CNPJ da igreja e a pessoa disse que estava ofertando. Não houve nem haverá reembolso. Informe o doador.</t>
  </si>
  <si>
    <t>Doação não monetária: o escritório lança despesa (ou estoque, ou imobilizado) e a receita de doação. Não passa por caixa nem por banco. Pede termo de doação assinado pelo doador.</t>
  </si>
  <si>
    <t>Alguém pagou do próprio bolso e a igreja deve devolver (ou já devolveu). Informe a pessoa e se o reembolso já foi pago.</t>
  </si>
  <si>
    <t>A despesa vale na data da NF, e a igreja deve à pessoa. Se já foi pago, o app precisa do comprovante do reembolso; se não, vira conta a pagar para a pessoa.</t>
  </si>
  <si>
    <t>A igreja pagou, mas o app não mostra: foi PIX, TED, dinheiro, cartão ou outro. Informe a forma.</t>
  </si>
  <si>
    <t>O pagamento existe; falta localizá-lo e ligá-lo à NF. Pode ser um pagamento já lançado com outro nome ou valor, ou algo que ficou fora do app.</t>
  </si>
  <si>
    <t>Você não sabe. O escritório volta a perguntar.</t>
  </si>
  <si>
    <t>Continua aberta na contabilidade até haver uma resposta.</t>
  </si>
  <si>
    <t>Como achar o CNPJ e o local da compra</t>
  </si>
  <si>
    <t>1. A chave de acesso da NF-e tem 44 dígitos e aparece no DANFE (o PDF da nota), no código de barras e no nome do XML.</t>
  </si>
  <si>
    <t>2. Os dígitos 7 a 20 da chave são o CNPJ de quem emitiu. Cole a chave na coluna O da aba Decisão: o CNPJ aparece sozinho na coluna P e o link da coluna Q abre a consulta da empresa (razão social e endereço).</t>
  </si>
  <si>
    <t>3. O escritório recebe essas NFs, então tem a chave de todas. A aba 'Pedido ao escritório' traz o texto e a lista prontos.</t>
  </si>
  <si>
    <t>4. CNPJ com final diferente de /0001 é filial: indica a loja ou o hotel exato. Vale para Kalunga, Accor e Goldensky.</t>
  </si>
  <si>
    <t>5. Para 12 das 17 NFs (11 fornecedores) não foi possível achar o CNPJ só pelo nome: bases públicas devolveram empresas homônimas, e preferi deixar em branco a chutar.</t>
  </si>
  <si>
    <t>Esta planilha só registra a sua decisão. Nenhum dado do app é alterado, nenhum lançamento é criado e nada é reclassificado.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</si>
</sst>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13" x14ac:knownFonts="1">
    <font>
      <color theme="1"/>
      <family val="2"/>
      <scheme val="minor"/>
      <sz val="11"/>
      <name val="Calibri"/>
    </font>
    <font>
      <b/>
      <color rgb="FF1F3A5F"/>
      <sz val="14"/>
      <name val="Arial"/>
    </font>
    <font>
      <i/>
      <color rgb="FF555B63"/>
      <sz val="10"/>
      <name val="Arial"/>
    </font>
    <font>
      <b/>
      <color rgb="FFFFFFFF"/>
      <sz val="10"/>
      <name val="Arial"/>
    </font>
    <font>
      <b/>
      <color rgb="FF3B2F00"/>
      <sz val="10"/>
      <name val="Arial"/>
    </font>
    <font>
      <b/>
      <sz val="10"/>
      <name val="Arial"/>
    </font>
    <font>
      <sz val="10"/>
      <name val="Arial"/>
    </font>
    <font>
      <color rgb="FF9A3412"/>
      <sz val="10"/>
      <name val="Arial"/>
    </font>
    <font>
      <sz val="9"/>
      <name val="Consolas"/>
    </font>
    <font>
      <color rgb="FF1B6B5A"/>
      <sz val="10"/>
      <name val="Arial"/>
    </font>
    <font>
      <b/>
      <color rgb="FF1F3A5F"/>
      <sz val="13"/>
      <name val="Arial"/>
    </font>
    <font>
      <b/>
      <color rgb="FF1F3A5F"/>
      <sz val="10"/>
      <name val="Arial"/>
    </font>
    <font>
      <i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1B6B5A"/>
      </patternFill>
    </fill>
    <fill>
      <patternFill patternType="solid">
        <fgColor rgb="FF8A6D00"/>
      </patternFill>
    </fill>
    <fill>
      <patternFill patternType="solid">
        <fgColor rgb="FFF2C94C"/>
      </patternFill>
    </fill>
    <fill>
      <patternFill patternType="solid">
        <fgColor rgb="FFFDE7E0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B8BEC6"/>
      </left>
      <right style="thin">
        <color rgb="FFB8BEC6"/>
      </right>
      <top style="thin">
        <color rgb="FFB8BEC6"/>
      </top>
      <bottom style="thin">
        <color rgb="FFB8BEC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164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49" fontId="8" fillId="7" borderId="1" xfId="0" applyNumberFormat="1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6" fillId="7" borderId="1" xfId="0" applyFont="1" applyFill="1" applyBorder="1" applyAlignment="1">
      <alignment vertical="top" wrapText="1"/>
    </xf>
    <xf numFmtId="0" fontId="5" fillId="0" borderId="0" xfId="0" applyFont="1"/>
    <xf numFmtId="165" fontId="5" fillId="0" borderId="0" xfId="0" applyNumberFormat="1" applyFont="1"/>
    <xf numFmtId="0" fontId="10" fillId="0" borderId="0" xfId="0" applyFont="1"/>
    <xf numFmtId="0" fontId="3" fillId="2" borderId="1" xfId="0" applyFont="1" applyFill="1" applyBorder="1"/>
    <xf numFmtId="0" fontId="6" fillId="0" borderId="1" xfId="0" applyFont="1" applyBorder="1"/>
    <xf numFmtId="165" fontId="6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11" fillId="0" borderId="0" xfId="0" applyFont="1"/>
    <xf numFmtId="0" fontId="2" fillId="0" borderId="0" xfId="0" applyFont="1"/>
    <xf numFmtId="0" fontId="6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164" fontId="6" fillId="0" borderId="1" xfId="0" applyNumberFormat="1" applyFont="1" applyBorder="1"/>
    <xf numFmtId="0" fontId="8" fillId="7" borderId="1" xfId="0" applyFont="1" applyFill="1" applyBorder="1"/>
    <xf numFmtId="0" fontId="12" fillId="0" borderId="0" xfId="0" applyFont="1"/>
  </cellXfs>
  <cellStyles count="1">
    <cellStyle name="Normal" xfId="0" builtinId="0"/>
  </cellStyles>
  <dxfs count="9">
    <dxf>
      <fill>
        <patternFill patternType="solid">
          <bgColor rgb="FFFFD9B3"/>
        </patternFill>
      </fill>
    </dxf>
    <dxf>
      <fill>
        <patternFill patternType="solid">
          <bgColor rgb="FFD0D4D9"/>
        </patternFill>
      </fill>
    </dxf>
    <dxf>
      <fill>
        <patternFill patternType="solid">
          <bgColor rgb="FFFFD9B3"/>
        </patternFill>
      </fill>
    </dxf>
    <dxf>
      <fill>
        <patternFill patternType="solid">
          <bgColor rgb="FFD0D4D9"/>
        </patternFill>
      </fill>
    </dxf>
    <dxf>
      <fill>
        <patternFill patternType="solid">
          <bgColor rgb="FFFFD9B3"/>
        </patternFill>
      </fill>
    </dxf>
    <dxf>
      <fill>
        <patternFill patternType="solid">
          <bgColor rgb="FFD0D4D9"/>
        </patternFill>
      </fill>
    </dxf>
    <dxf>
      <fill>
        <patternFill patternType="solid">
          <bgColor rgb="FFFFD9B3"/>
        </patternFill>
      </fill>
    </dxf>
    <dxf>
      <fill>
        <patternFill patternType="solid">
          <bgColor rgb="FFD0D4D9"/>
        </patternFill>
      </fill>
    </dxf>
    <dxf>
      <fill>
        <patternFill patternType="solid">
          <bgColor rgb="FFFFD9B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  <pageSetUpPr fitToPage="1"/>
  </sheetPr>
  <dimension ref="A1:W23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24" customWidth="1"/>
    <col min="4" max="4" width="46" customWidth="1"/>
    <col min="5" max="5" width="10" customWidth="1"/>
    <col min="6" max="6" width="11" customWidth="1"/>
    <col min="7" max="7" width="12" customWidth="1"/>
    <col min="8" max="8" width="24" customWidth="1"/>
    <col min="9" max="9" width="22" customWidth="1"/>
    <col min="10" max="10" width="34" customWidth="1"/>
    <col min="11" max="12" width="15" customWidth="1"/>
    <col min="13" max="13" width="52" customWidth="1"/>
    <col min="14" max="14" width="40" customWidth="1"/>
    <col min="15" max="15" width="30" customWidth="1"/>
    <col min="16" max="16" width="22" customWidth="1"/>
    <col min="17" max="17" width="20" customWidth="1"/>
    <col min="18" max="18" width="22" customWidth="1"/>
    <col min="19" max="20" width="24" customWidth="1"/>
    <col min="21" max="21" width="17" customWidth="1"/>
    <col min="22" max="22" width="20" customWidth="1"/>
    <col min="23" max="23" width="34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4" customHeight="1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5" t="s">
        <v>4</v>
      </c>
      <c r="S3" s="5"/>
      <c r="T3" s="5"/>
      <c r="U3" s="5"/>
      <c r="V3" s="5"/>
      <c r="W3" s="5"/>
    </row>
    <row r="4" ht="52" customHeight="1" spans="1:23" x14ac:dyDescent="0.25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7" t="s">
        <v>19</v>
      </c>
      <c r="P4" s="7" t="s">
        <v>20</v>
      </c>
      <c r="Q4" s="7" t="s">
        <v>21</v>
      </c>
      <c r="R4" s="8" t="s">
        <v>22</v>
      </c>
      <c r="S4" s="8" t="s">
        <v>23</v>
      </c>
      <c r="T4" s="8" t="s">
        <v>24</v>
      </c>
      <c r="U4" s="8" t="s">
        <v>25</v>
      </c>
      <c r="V4" s="8" t="s">
        <v>26</v>
      </c>
      <c r="W4" s="8" t="s">
        <v>27</v>
      </c>
    </row>
    <row r="5" ht="75.5" customHeight="1" spans="1:23" x14ac:dyDescent="0.25">
      <c r="A5" s="9" t="s">
        <v>28</v>
      </c>
      <c r="B5" s="10" t="s">
        <v>29</v>
      </c>
      <c r="C5" s="11" t="s">
        <v>30</v>
      </c>
      <c r="D5" s="12" t="s">
        <v>31</v>
      </c>
      <c r="E5" s="13" t="s">
        <v>32</v>
      </c>
      <c r="F5" s="14">
        <v>45955.625</v>
      </c>
      <c r="G5" s="15">
        <v>125.88</v>
      </c>
      <c r="H5" s="10" t="s">
        <v>33</v>
      </c>
      <c r="I5" s="10" t="s">
        <v>31</v>
      </c>
      <c r="J5" s="10" t="s">
        <v>34</v>
      </c>
      <c r="K5" s="10" t="s">
        <v>35</v>
      </c>
      <c r="L5" s="10" t="s">
        <v>36</v>
      </c>
      <c r="M5" s="10" t="s">
        <v>37</v>
      </c>
      <c r="N5" s="10" t="s">
        <v>38</v>
      </c>
      <c r="O5" s="16"/>
      <c r="P5" s="17">
        <f>IF(LEN(SUBSTITUTE($O5," ",""))=44,MID(SUBSTITUTE($O5," ",""),7,2)&amp;"."&amp;MID(SUBSTITUTE($O5," ",""),9,3)&amp;"."&amp;MID(SUBSTITUTE($O5," ",""),12,3)&amp;"/"&amp;MID(SUBSTITUTE($O5," ",""),15,4)&amp;"-"&amp;MID(SUBSTITUTE($O5," ",""),19,2),"")</f>
      </c>
      <c r="Q5" s="17">
        <f>IF(LEN(SUBSTITUTE($O5," ",""))=44,HYPERLINK("https://cnpja.com/office/"&amp;MID(SUBSTITUTE($O5," ",""),7,14),"Consultar emitente"),"")</f>
      </c>
      <c r="R5" s="18"/>
      <c r="S5" s="18"/>
      <c r="T5" s="18"/>
      <c r="U5" s="18"/>
      <c r="V5" s="18"/>
      <c r="W5" s="18"/>
    </row>
    <row r="6" ht="75.5" customHeight="1" spans="1:23" x14ac:dyDescent="0.25">
      <c r="A6" s="9" t="s">
        <v>39</v>
      </c>
      <c r="B6" s="10" t="s">
        <v>40</v>
      </c>
      <c r="C6" s="10" t="s">
        <v>41</v>
      </c>
      <c r="D6" s="10" t="s">
        <v>42</v>
      </c>
      <c r="E6" s="13" t="s">
        <v>43</v>
      </c>
      <c r="F6" s="14">
        <v>45957.625</v>
      </c>
      <c r="G6" s="15">
        <v>84.2</v>
      </c>
      <c r="H6" s="10" t="s">
        <v>33</v>
      </c>
      <c r="I6" s="10" t="s">
        <v>31</v>
      </c>
      <c r="J6" s="10" t="s">
        <v>44</v>
      </c>
      <c r="K6" s="10" t="s">
        <v>35</v>
      </c>
      <c r="L6" s="10" t="s">
        <v>36</v>
      </c>
      <c r="M6" s="10" t="s">
        <v>45</v>
      </c>
      <c r="N6" s="10" t="s">
        <v>46</v>
      </c>
      <c r="O6" s="16"/>
      <c r="P6" s="17">
        <f>IF(LEN(SUBSTITUTE($O6," ",""))=44,MID(SUBSTITUTE($O6," ",""),7,2)&amp;"."&amp;MID(SUBSTITUTE($O6," ",""),9,3)&amp;"."&amp;MID(SUBSTITUTE($O6," ",""),12,3)&amp;"/"&amp;MID(SUBSTITUTE($O6," ",""),15,4)&amp;"-"&amp;MID(SUBSTITUTE($O6," ",""),19,2),"")</f>
      </c>
      <c r="Q6" s="17">
        <f>IF(LEN(SUBSTITUTE($O6," ",""))=44,HYPERLINK("https://cnpja.com/office/"&amp;MID(SUBSTITUTE($O6," ",""),7,14),"Consultar emitente"),"")</f>
      </c>
      <c r="R6" s="18"/>
      <c r="S6" s="18"/>
      <c r="T6" s="18"/>
      <c r="U6" s="18"/>
      <c r="V6" s="18"/>
      <c r="W6" s="18"/>
    </row>
    <row r="7" ht="75.5" customHeight="1" spans="1:23" x14ac:dyDescent="0.25">
      <c r="A7" s="9" t="s">
        <v>47</v>
      </c>
      <c r="B7" s="10" t="s">
        <v>48</v>
      </c>
      <c r="C7" s="11" t="s">
        <v>30</v>
      </c>
      <c r="D7" s="12" t="s">
        <v>31</v>
      </c>
      <c r="E7" s="13" t="s">
        <v>49</v>
      </c>
      <c r="F7" s="14">
        <v>45958.625</v>
      </c>
      <c r="G7" s="15">
        <v>25</v>
      </c>
      <c r="H7" s="10" t="s">
        <v>33</v>
      </c>
      <c r="I7" s="10" t="s">
        <v>31</v>
      </c>
      <c r="J7" s="10" t="s">
        <v>50</v>
      </c>
      <c r="K7" s="10" t="s">
        <v>35</v>
      </c>
      <c r="L7" s="10" t="s">
        <v>36</v>
      </c>
      <c r="M7" s="10" t="s">
        <v>51</v>
      </c>
      <c r="N7" s="10" t="s">
        <v>38</v>
      </c>
      <c r="O7" s="16"/>
      <c r="P7" s="17">
        <f>IF(LEN(SUBSTITUTE($O7," ",""))=44,MID(SUBSTITUTE($O7," ",""),7,2)&amp;"."&amp;MID(SUBSTITUTE($O7," ",""),9,3)&amp;"."&amp;MID(SUBSTITUTE($O7," ",""),12,3)&amp;"/"&amp;MID(SUBSTITUTE($O7," ",""),15,4)&amp;"-"&amp;MID(SUBSTITUTE($O7," ",""),19,2),"")</f>
      </c>
      <c r="Q7" s="17">
        <f>IF(LEN(SUBSTITUTE($O7," ",""))=44,HYPERLINK("https://cnpja.com/office/"&amp;MID(SUBSTITUTE($O7," ",""),7,14),"Consultar emitente"),"")</f>
      </c>
      <c r="R7" s="18"/>
      <c r="S7" s="18"/>
      <c r="T7" s="18"/>
      <c r="U7" s="18"/>
      <c r="V7" s="18"/>
      <c r="W7" s="18"/>
    </row>
    <row r="8" ht="75.5" customHeight="1" spans="1:23" x14ac:dyDescent="0.25">
      <c r="A8" s="9" t="s">
        <v>52</v>
      </c>
      <c r="B8" s="10" t="s">
        <v>53</v>
      </c>
      <c r="C8" s="11" t="s">
        <v>30</v>
      </c>
      <c r="D8" s="12" t="s">
        <v>31</v>
      </c>
      <c r="E8" s="13" t="s">
        <v>54</v>
      </c>
      <c r="F8" s="14">
        <v>45959.625</v>
      </c>
      <c r="G8" s="15">
        <v>25.98</v>
      </c>
      <c r="H8" s="10" t="s">
        <v>33</v>
      </c>
      <c r="I8" s="10" t="s">
        <v>31</v>
      </c>
      <c r="J8" s="10" t="s">
        <v>55</v>
      </c>
      <c r="K8" s="10" t="s">
        <v>35</v>
      </c>
      <c r="L8" s="10" t="s">
        <v>36</v>
      </c>
      <c r="M8" s="10" t="s">
        <v>56</v>
      </c>
      <c r="N8" s="10" t="s">
        <v>38</v>
      </c>
      <c r="O8" s="16"/>
      <c r="P8" s="17">
        <f>IF(LEN(SUBSTITUTE($O8," ",""))=44,MID(SUBSTITUTE($O8," ",""),7,2)&amp;"."&amp;MID(SUBSTITUTE($O8," ",""),9,3)&amp;"."&amp;MID(SUBSTITUTE($O8," ",""),12,3)&amp;"/"&amp;MID(SUBSTITUTE($O8," ",""),15,4)&amp;"-"&amp;MID(SUBSTITUTE($O8," ",""),19,2),"")</f>
      </c>
      <c r="Q8" s="17">
        <f>IF(LEN(SUBSTITUTE($O8," ",""))=44,HYPERLINK("https://cnpja.com/office/"&amp;MID(SUBSTITUTE($O8," ",""),7,14),"Consultar emitente"),"")</f>
      </c>
      <c r="R8" s="18"/>
      <c r="S8" s="18"/>
      <c r="T8" s="18"/>
      <c r="U8" s="18"/>
      <c r="V8" s="18"/>
      <c r="W8" s="18"/>
    </row>
    <row r="9" ht="75.5" customHeight="1" spans="1:23" x14ac:dyDescent="0.25">
      <c r="A9" s="9" t="s">
        <v>57</v>
      </c>
      <c r="B9" s="10" t="s">
        <v>58</v>
      </c>
      <c r="C9" s="11" t="s">
        <v>30</v>
      </c>
      <c r="D9" s="12" t="s">
        <v>31</v>
      </c>
      <c r="E9" s="13" t="s">
        <v>59</v>
      </c>
      <c r="F9" s="14">
        <v>45980.625</v>
      </c>
      <c r="G9" s="15">
        <v>112.22</v>
      </c>
      <c r="H9" s="10" t="s">
        <v>33</v>
      </c>
      <c r="I9" s="10" t="s">
        <v>31</v>
      </c>
      <c r="J9" s="10" t="s">
        <v>60</v>
      </c>
      <c r="K9" s="10" t="s">
        <v>35</v>
      </c>
      <c r="L9" s="10" t="s">
        <v>36</v>
      </c>
      <c r="M9" s="10" t="s">
        <v>61</v>
      </c>
      <c r="N9" s="10" t="s">
        <v>38</v>
      </c>
      <c r="O9" s="16"/>
      <c r="P9" s="17">
        <f>IF(LEN(SUBSTITUTE($O9," ",""))=44,MID(SUBSTITUTE($O9," ",""),7,2)&amp;"."&amp;MID(SUBSTITUTE($O9," ",""),9,3)&amp;"."&amp;MID(SUBSTITUTE($O9," ",""),12,3)&amp;"/"&amp;MID(SUBSTITUTE($O9," ",""),15,4)&amp;"-"&amp;MID(SUBSTITUTE($O9," ",""),19,2),"")</f>
      </c>
      <c r="Q9" s="17">
        <f>IF(LEN(SUBSTITUTE($O9," ",""))=44,HYPERLINK("https://cnpja.com/office/"&amp;MID(SUBSTITUTE($O9," ",""),7,14),"Consultar emitente"),"")</f>
      </c>
      <c r="R9" s="18"/>
      <c r="S9" s="18"/>
      <c r="T9" s="18"/>
      <c r="U9" s="18"/>
      <c r="V9" s="18"/>
      <c r="W9" s="18"/>
    </row>
    <row r="10" ht="75.5" customHeight="1" spans="1:23" x14ac:dyDescent="0.25">
      <c r="A10" s="9" t="s">
        <v>62</v>
      </c>
      <c r="B10" s="10" t="s">
        <v>63</v>
      </c>
      <c r="C10" s="11" t="s">
        <v>30</v>
      </c>
      <c r="D10" s="12" t="s">
        <v>31</v>
      </c>
      <c r="E10" s="13" t="s">
        <v>64</v>
      </c>
      <c r="F10" s="14">
        <v>46130.625</v>
      </c>
      <c r="G10" s="15">
        <v>143</v>
      </c>
      <c r="H10" s="10" t="s">
        <v>33</v>
      </c>
      <c r="I10" s="10" t="s">
        <v>31</v>
      </c>
      <c r="J10" s="10" t="s">
        <v>65</v>
      </c>
      <c r="K10" s="10" t="s">
        <v>35</v>
      </c>
      <c r="L10" s="10" t="s">
        <v>36</v>
      </c>
      <c r="M10" s="10" t="s">
        <v>66</v>
      </c>
      <c r="N10" s="10" t="s">
        <v>38</v>
      </c>
      <c r="O10" s="16"/>
      <c r="P10" s="17">
        <f>IF(LEN(SUBSTITUTE($O10," ",""))=44,MID(SUBSTITUTE($O10," ",""),7,2)&amp;"."&amp;MID(SUBSTITUTE($O10," ",""),9,3)&amp;"."&amp;MID(SUBSTITUTE($O10," ",""),12,3)&amp;"/"&amp;MID(SUBSTITUTE($O10," ",""),15,4)&amp;"-"&amp;MID(SUBSTITUTE($O10," ",""),19,2),"")</f>
      </c>
      <c r="Q10" s="17">
        <f>IF(LEN(SUBSTITUTE($O10," ",""))=44,HYPERLINK("https://cnpja.com/office/"&amp;MID(SUBSTITUTE($O10," ",""),7,14),"Consultar emitente"),"")</f>
      </c>
      <c r="R10" s="18"/>
      <c r="S10" s="18"/>
      <c r="T10" s="18"/>
      <c r="U10" s="18"/>
      <c r="V10" s="18"/>
      <c r="W10" s="18"/>
    </row>
    <row r="11" ht="75.5" customHeight="1" spans="1:23" x14ac:dyDescent="0.25">
      <c r="A11" s="9" t="s">
        <v>67</v>
      </c>
      <c r="B11" s="10" t="s">
        <v>68</v>
      </c>
      <c r="C11" s="11" t="s">
        <v>30</v>
      </c>
      <c r="D11" s="12" t="s">
        <v>31</v>
      </c>
      <c r="E11" s="13" t="s">
        <v>69</v>
      </c>
      <c r="F11" s="14">
        <v>46140.625</v>
      </c>
      <c r="G11" s="15">
        <v>104.4</v>
      </c>
      <c r="H11" s="10" t="s">
        <v>33</v>
      </c>
      <c r="I11" s="10" t="s">
        <v>31</v>
      </c>
      <c r="J11" s="10" t="s">
        <v>70</v>
      </c>
      <c r="K11" s="10" t="s">
        <v>35</v>
      </c>
      <c r="L11" s="10" t="s">
        <v>36</v>
      </c>
      <c r="M11" s="10" t="s">
        <v>71</v>
      </c>
      <c r="N11" s="10" t="s">
        <v>38</v>
      </c>
      <c r="O11" s="16"/>
      <c r="P11" s="17">
        <f>IF(LEN(SUBSTITUTE($O11," ",""))=44,MID(SUBSTITUTE($O11," ",""),7,2)&amp;"."&amp;MID(SUBSTITUTE($O11," ",""),9,3)&amp;"."&amp;MID(SUBSTITUTE($O11," ",""),12,3)&amp;"/"&amp;MID(SUBSTITUTE($O11," ",""),15,4)&amp;"-"&amp;MID(SUBSTITUTE($O11," ",""),19,2),"")</f>
      </c>
      <c r="Q11" s="17">
        <f>IF(LEN(SUBSTITUTE($O11," ",""))=44,HYPERLINK("https://cnpja.com/office/"&amp;MID(SUBSTITUTE($O11," ",""),7,14),"Consultar emitente"),"")</f>
      </c>
      <c r="R11" s="18"/>
      <c r="S11" s="18"/>
      <c r="T11" s="18"/>
      <c r="U11" s="18"/>
      <c r="V11" s="18"/>
      <c r="W11" s="18"/>
    </row>
    <row r="12" ht="75.5" customHeight="1" spans="1:23" x14ac:dyDescent="0.25">
      <c r="A12" s="9" t="s">
        <v>72</v>
      </c>
      <c r="B12" s="10" t="s">
        <v>73</v>
      </c>
      <c r="C12" s="10" t="s">
        <v>74</v>
      </c>
      <c r="D12" s="10" t="s">
        <v>75</v>
      </c>
      <c r="E12" s="13" t="s">
        <v>76</v>
      </c>
      <c r="F12" s="14">
        <v>46244.625</v>
      </c>
      <c r="G12" s="15">
        <v>255.3</v>
      </c>
      <c r="H12" s="10" t="s">
        <v>77</v>
      </c>
      <c r="I12" s="10" t="s">
        <v>78</v>
      </c>
      <c r="J12" s="10" t="s">
        <v>79</v>
      </c>
      <c r="K12" s="10" t="s">
        <v>35</v>
      </c>
      <c r="L12" s="10" t="s">
        <v>36</v>
      </c>
      <c r="M12" s="10" t="s">
        <v>80</v>
      </c>
      <c r="N12" s="10" t="s">
        <v>81</v>
      </c>
      <c r="O12" s="16"/>
      <c r="P12" s="17">
        <f>IF(LEN(SUBSTITUTE($O12," ",""))=44,MID(SUBSTITUTE($O12," ",""),7,2)&amp;"."&amp;MID(SUBSTITUTE($O12," ",""),9,3)&amp;"."&amp;MID(SUBSTITUTE($O12," ",""),12,3)&amp;"/"&amp;MID(SUBSTITUTE($O12," ",""),15,4)&amp;"-"&amp;MID(SUBSTITUTE($O12," ",""),19,2),"")</f>
      </c>
      <c r="Q12" s="17">
        <f>IF(LEN(SUBSTITUTE($O12," ",""))=44,HYPERLINK("https://cnpja.com/office/"&amp;MID(SUBSTITUTE($O12," ",""),7,14),"Consultar emitente"),"")</f>
      </c>
      <c r="R12" s="18"/>
      <c r="S12" s="18"/>
      <c r="T12" s="18"/>
      <c r="U12" s="18"/>
      <c r="V12" s="18"/>
      <c r="W12" s="18"/>
    </row>
    <row r="13" ht="75.5" customHeight="1" spans="1:23" x14ac:dyDescent="0.25">
      <c r="A13" s="9" t="s">
        <v>82</v>
      </c>
      <c r="B13" s="10" t="s">
        <v>83</v>
      </c>
      <c r="C13" s="11" t="s">
        <v>30</v>
      </c>
      <c r="D13" s="12" t="s">
        <v>31</v>
      </c>
      <c r="E13" s="13" t="s">
        <v>84</v>
      </c>
      <c r="F13" s="14">
        <v>46260.625</v>
      </c>
      <c r="G13" s="15">
        <v>149.38</v>
      </c>
      <c r="H13" s="10" t="s">
        <v>33</v>
      </c>
      <c r="I13" s="10" t="s">
        <v>31</v>
      </c>
      <c r="J13" s="10" t="s">
        <v>85</v>
      </c>
      <c r="K13" s="10" t="s">
        <v>35</v>
      </c>
      <c r="L13" s="10" t="s">
        <v>36</v>
      </c>
      <c r="M13" s="10" t="s">
        <v>86</v>
      </c>
      <c r="N13" s="10" t="s">
        <v>38</v>
      </c>
      <c r="O13" s="16"/>
      <c r="P13" s="17">
        <f>IF(LEN(SUBSTITUTE($O13," ",""))=44,MID(SUBSTITUTE($O13," ",""),7,2)&amp;"."&amp;MID(SUBSTITUTE($O13," ",""),9,3)&amp;"."&amp;MID(SUBSTITUTE($O13," ",""),12,3)&amp;"/"&amp;MID(SUBSTITUTE($O13," ",""),15,4)&amp;"-"&amp;MID(SUBSTITUTE($O13," ",""),19,2),"")</f>
      </c>
      <c r="Q13" s="17">
        <f>IF(LEN(SUBSTITUTE($O13," ",""))=44,HYPERLINK("https://cnpja.com/office/"&amp;MID(SUBSTITUTE($O13," ",""),7,14),"Consultar emitente"),"")</f>
      </c>
      <c r="R13" s="18"/>
      <c r="S13" s="18"/>
      <c r="T13" s="18"/>
      <c r="U13" s="18"/>
      <c r="V13" s="18"/>
      <c r="W13" s="18"/>
    </row>
    <row r="14" ht="75.5" customHeight="1" spans="1:23" x14ac:dyDescent="0.25">
      <c r="A14" s="9" t="s">
        <v>87</v>
      </c>
      <c r="B14" s="10" t="s">
        <v>88</v>
      </c>
      <c r="C14" s="10" t="s">
        <v>89</v>
      </c>
      <c r="D14" s="10" t="s">
        <v>90</v>
      </c>
      <c r="E14" s="13" t="s">
        <v>91</v>
      </c>
      <c r="F14" s="14">
        <v>46265.625</v>
      </c>
      <c r="G14" s="15">
        <v>443.95</v>
      </c>
      <c r="H14" s="10" t="s">
        <v>33</v>
      </c>
      <c r="I14" s="10" t="s">
        <v>31</v>
      </c>
      <c r="J14" s="10" t="s">
        <v>92</v>
      </c>
      <c r="K14" s="10" t="s">
        <v>35</v>
      </c>
      <c r="L14" s="10" t="s">
        <v>36</v>
      </c>
      <c r="M14" s="10" t="s">
        <v>93</v>
      </c>
      <c r="N14" s="10" t="s">
        <v>94</v>
      </c>
      <c r="O14" s="16"/>
      <c r="P14" s="17">
        <f>IF(LEN(SUBSTITUTE($O14," ",""))=44,MID(SUBSTITUTE($O14," ",""),7,2)&amp;"."&amp;MID(SUBSTITUTE($O14," ",""),9,3)&amp;"."&amp;MID(SUBSTITUTE($O14," ",""),12,3)&amp;"/"&amp;MID(SUBSTITUTE($O14," ",""),15,4)&amp;"-"&amp;MID(SUBSTITUTE($O14," ",""),19,2),"")</f>
      </c>
      <c r="Q14" s="17">
        <f>IF(LEN(SUBSTITUTE($O14," ",""))=44,HYPERLINK("https://cnpja.com/office/"&amp;MID(SUBSTITUTE($O14," ",""),7,14),"Consultar emitente"),"")</f>
      </c>
      <c r="R14" s="18"/>
      <c r="S14" s="18"/>
      <c r="T14" s="18"/>
      <c r="U14" s="18"/>
      <c r="V14" s="18"/>
      <c r="W14" s="18"/>
    </row>
    <row r="15" ht="75.5" customHeight="1" spans="1:23" x14ac:dyDescent="0.25">
      <c r="A15" s="9" t="s">
        <v>95</v>
      </c>
      <c r="B15" s="10" t="s">
        <v>96</v>
      </c>
      <c r="C15" s="10" t="s">
        <v>97</v>
      </c>
      <c r="D15" s="10" t="s">
        <v>98</v>
      </c>
      <c r="E15" s="13" t="s">
        <v>99</v>
      </c>
      <c r="F15" s="14">
        <v>45575.625</v>
      </c>
      <c r="G15" s="15">
        <v>137.28</v>
      </c>
      <c r="H15" s="10" t="s">
        <v>100</v>
      </c>
      <c r="I15" s="10" t="s">
        <v>101</v>
      </c>
      <c r="J15" s="10" t="s">
        <v>102</v>
      </c>
      <c r="K15" s="10" t="s">
        <v>35</v>
      </c>
      <c r="L15" s="10" t="s">
        <v>36</v>
      </c>
      <c r="M15" s="10" t="s">
        <v>103</v>
      </c>
      <c r="N15" s="10" t="s">
        <v>104</v>
      </c>
      <c r="O15" s="16"/>
      <c r="P15" s="17">
        <f>IF(LEN(SUBSTITUTE($O15," ",""))=44,MID(SUBSTITUTE($O15," ",""),7,2)&amp;"."&amp;MID(SUBSTITUTE($O15," ",""),9,3)&amp;"."&amp;MID(SUBSTITUTE($O15," ",""),12,3)&amp;"/"&amp;MID(SUBSTITUTE($O15," ",""),15,4)&amp;"-"&amp;MID(SUBSTITUTE($O15," ",""),19,2),"")</f>
      </c>
      <c r="Q15" s="17">
        <f>IF(LEN(SUBSTITUTE($O15," ",""))=44,HYPERLINK("https://cnpja.com/office/"&amp;MID(SUBSTITUTE($O15," ",""),7,14),"Consultar emitente"),"")</f>
      </c>
      <c r="R15" s="18"/>
      <c r="S15" s="18"/>
      <c r="T15" s="18"/>
      <c r="U15" s="18"/>
      <c r="V15" s="18"/>
      <c r="W15" s="18"/>
    </row>
    <row r="16" ht="129.5" customHeight="1" spans="1:23" x14ac:dyDescent="0.25">
      <c r="A16" s="9" t="s">
        <v>105</v>
      </c>
      <c r="B16" s="10" t="s">
        <v>106</v>
      </c>
      <c r="C16" s="11" t="s">
        <v>30</v>
      </c>
      <c r="D16" s="12" t="s">
        <v>31</v>
      </c>
      <c r="E16" s="13" t="s">
        <v>107</v>
      </c>
      <c r="F16" s="14">
        <v>45603.625</v>
      </c>
      <c r="G16" s="15">
        <v>150</v>
      </c>
      <c r="H16" s="10" t="s">
        <v>33</v>
      </c>
      <c r="I16" s="10" t="s">
        <v>31</v>
      </c>
      <c r="J16" s="10" t="s">
        <v>108</v>
      </c>
      <c r="K16" s="10" t="s">
        <v>35</v>
      </c>
      <c r="L16" s="10" t="s">
        <v>36</v>
      </c>
      <c r="M16" s="10" t="s">
        <v>109</v>
      </c>
      <c r="N16" s="10" t="s">
        <v>110</v>
      </c>
      <c r="O16" s="16"/>
      <c r="P16" s="17">
        <f>IF(LEN(SUBSTITUTE($O16," ",""))=44,MID(SUBSTITUTE($O16," ",""),7,2)&amp;"."&amp;MID(SUBSTITUTE($O16," ",""),9,3)&amp;"."&amp;MID(SUBSTITUTE($O16," ",""),12,3)&amp;"/"&amp;MID(SUBSTITUTE($O16," ",""),15,4)&amp;"-"&amp;MID(SUBSTITUTE($O16," ",""),19,2),"")</f>
      </c>
      <c r="Q16" s="17">
        <f>IF(LEN(SUBSTITUTE($O16," ",""))=44,HYPERLINK("https://cnpja.com/office/"&amp;MID(SUBSTITUTE($O16," ",""),7,14),"Consultar emitente"),"")</f>
      </c>
      <c r="R16" s="18"/>
      <c r="S16" s="18"/>
      <c r="T16" s="18"/>
      <c r="U16" s="18"/>
      <c r="V16" s="18"/>
      <c r="W16" s="18"/>
    </row>
    <row r="17" ht="75.5" customHeight="1" spans="1:23" x14ac:dyDescent="0.25">
      <c r="A17" s="9" t="s">
        <v>111</v>
      </c>
      <c r="B17" s="10" t="s">
        <v>112</v>
      </c>
      <c r="C17" s="11" t="s">
        <v>30</v>
      </c>
      <c r="D17" s="12" t="s">
        <v>31</v>
      </c>
      <c r="E17" s="13" t="s">
        <v>113</v>
      </c>
      <c r="F17" s="14">
        <v>45898.625</v>
      </c>
      <c r="G17" s="15">
        <v>161.3</v>
      </c>
      <c r="H17" s="10" t="s">
        <v>33</v>
      </c>
      <c r="I17" s="10" t="s">
        <v>31</v>
      </c>
      <c r="J17" s="10" t="s">
        <v>114</v>
      </c>
      <c r="K17" s="10" t="s">
        <v>35</v>
      </c>
      <c r="L17" s="10" t="s">
        <v>36</v>
      </c>
      <c r="M17" s="10" t="s">
        <v>115</v>
      </c>
      <c r="N17" s="10" t="s">
        <v>38</v>
      </c>
      <c r="O17" s="16"/>
      <c r="P17" s="17">
        <f>IF(LEN(SUBSTITUTE($O17," ",""))=44,MID(SUBSTITUTE($O17," ",""),7,2)&amp;"."&amp;MID(SUBSTITUTE($O17," ",""),9,3)&amp;"."&amp;MID(SUBSTITUTE($O17," ",""),12,3)&amp;"/"&amp;MID(SUBSTITUTE($O17," ",""),15,4)&amp;"-"&amp;MID(SUBSTITUTE($O17," ",""),19,2),"")</f>
      </c>
      <c r="Q17" s="17">
        <f>IF(LEN(SUBSTITUTE($O17," ",""))=44,HYPERLINK("https://cnpja.com/office/"&amp;MID(SUBSTITUTE($O17," ",""),7,14),"Consultar emitente"),"")</f>
      </c>
      <c r="R17" s="18"/>
      <c r="S17" s="18"/>
      <c r="T17" s="18"/>
      <c r="U17" s="18"/>
      <c r="V17" s="18"/>
      <c r="W17" s="18"/>
    </row>
    <row r="18" ht="62" customHeight="1" spans="1:23" x14ac:dyDescent="0.25">
      <c r="A18" s="9" t="s">
        <v>116</v>
      </c>
      <c r="B18" s="10" t="s">
        <v>117</v>
      </c>
      <c r="C18" s="10" t="s">
        <v>118</v>
      </c>
      <c r="D18" s="10" t="s">
        <v>119</v>
      </c>
      <c r="E18" s="13" t="s">
        <v>120</v>
      </c>
      <c r="F18" s="14">
        <v>45908.625</v>
      </c>
      <c r="G18" s="15">
        <v>445.1</v>
      </c>
      <c r="H18" s="10" t="s">
        <v>33</v>
      </c>
      <c r="I18" s="10" t="s">
        <v>31</v>
      </c>
      <c r="J18" s="10" t="s">
        <v>121</v>
      </c>
      <c r="K18" s="10" t="s">
        <v>35</v>
      </c>
      <c r="L18" s="10" t="s">
        <v>36</v>
      </c>
      <c r="M18" s="10" t="s">
        <v>122</v>
      </c>
      <c r="N18" s="10" t="s">
        <v>123</v>
      </c>
      <c r="O18" s="16"/>
      <c r="P18" s="17">
        <f>IF(LEN(SUBSTITUTE($O18," ",""))=44,MID(SUBSTITUTE($O18," ",""),7,2)&amp;"."&amp;MID(SUBSTITUTE($O18," ",""),9,3)&amp;"."&amp;MID(SUBSTITUTE($O18," ",""),12,3)&amp;"/"&amp;MID(SUBSTITUTE($O18," ",""),15,4)&amp;"-"&amp;MID(SUBSTITUTE($O18," ",""),19,2),"")</f>
      </c>
      <c r="Q18" s="17">
        <f>IF(LEN(SUBSTITUTE($O18," ",""))=44,HYPERLINK("https://cnpja.com/office/"&amp;MID(SUBSTITUTE($O18," ",""),7,14),"Consultar emitente"),"")</f>
      </c>
      <c r="R18" s="18"/>
      <c r="S18" s="18"/>
      <c r="T18" s="18"/>
      <c r="U18" s="18"/>
      <c r="V18" s="18"/>
      <c r="W18" s="18"/>
    </row>
    <row r="19" ht="75.5" customHeight="1" spans="1:23" x14ac:dyDescent="0.25">
      <c r="A19" s="9" t="s">
        <v>124</v>
      </c>
      <c r="B19" s="10" t="s">
        <v>125</v>
      </c>
      <c r="C19" s="11" t="s">
        <v>30</v>
      </c>
      <c r="D19" s="12" t="s">
        <v>31</v>
      </c>
      <c r="E19" s="13" t="s">
        <v>126</v>
      </c>
      <c r="F19" s="14">
        <v>45996.625</v>
      </c>
      <c r="G19" s="15">
        <v>50</v>
      </c>
      <c r="H19" s="10" t="s">
        <v>33</v>
      </c>
      <c r="I19" s="10" t="s">
        <v>31</v>
      </c>
      <c r="J19" s="10" t="s">
        <v>127</v>
      </c>
      <c r="K19" s="10" t="s">
        <v>35</v>
      </c>
      <c r="L19" s="10" t="s">
        <v>36</v>
      </c>
      <c r="M19" s="10" t="s">
        <v>128</v>
      </c>
      <c r="N19" s="10" t="s">
        <v>38</v>
      </c>
      <c r="O19" s="16"/>
      <c r="P19" s="17">
        <f>IF(LEN(SUBSTITUTE($O19," ",""))=44,MID(SUBSTITUTE($O19," ",""),7,2)&amp;"."&amp;MID(SUBSTITUTE($O19," ",""),9,3)&amp;"."&amp;MID(SUBSTITUTE($O19," ",""),12,3)&amp;"/"&amp;MID(SUBSTITUTE($O19," ",""),15,4)&amp;"-"&amp;MID(SUBSTITUTE($O19," ",""),19,2),"")</f>
      </c>
      <c r="Q19" s="17">
        <f>IF(LEN(SUBSTITUTE($O19," ",""))=44,HYPERLINK("https://cnpja.com/office/"&amp;MID(SUBSTITUTE($O19," ",""),7,14),"Consultar emitente"),"")</f>
      </c>
      <c r="R19" s="18"/>
      <c r="S19" s="18"/>
      <c r="T19" s="18"/>
      <c r="U19" s="18"/>
      <c r="V19" s="18"/>
      <c r="W19" s="18"/>
    </row>
    <row r="20" ht="75.5" customHeight="1" spans="1:23" x14ac:dyDescent="0.25">
      <c r="A20" s="9" t="s">
        <v>129</v>
      </c>
      <c r="B20" s="10" t="s">
        <v>130</v>
      </c>
      <c r="C20" s="11" t="s">
        <v>30</v>
      </c>
      <c r="D20" s="12" t="s">
        <v>31</v>
      </c>
      <c r="E20" s="13" t="s">
        <v>131</v>
      </c>
      <c r="F20" s="14">
        <v>46147.625</v>
      </c>
      <c r="G20" s="15">
        <v>258.63</v>
      </c>
      <c r="H20" s="10" t="s">
        <v>33</v>
      </c>
      <c r="I20" s="10" t="s">
        <v>31</v>
      </c>
      <c r="J20" s="10" t="s">
        <v>132</v>
      </c>
      <c r="K20" s="10" t="s">
        <v>35</v>
      </c>
      <c r="L20" s="10" t="s">
        <v>36</v>
      </c>
      <c r="M20" s="10" t="s">
        <v>133</v>
      </c>
      <c r="N20" s="10" t="s">
        <v>38</v>
      </c>
      <c r="O20" s="16"/>
      <c r="P20" s="17">
        <f>IF(LEN(SUBSTITUTE($O20," ",""))=44,MID(SUBSTITUTE($O20," ",""),7,2)&amp;"."&amp;MID(SUBSTITUTE($O20," ",""),9,3)&amp;"."&amp;MID(SUBSTITUTE($O20," ",""),12,3)&amp;"/"&amp;MID(SUBSTITUTE($O20," ",""),15,4)&amp;"-"&amp;MID(SUBSTITUTE($O20," ",""),19,2),"")</f>
      </c>
      <c r="Q20" s="17">
        <f>IF(LEN(SUBSTITUTE($O20," ",""))=44,HYPERLINK("https://cnpja.com/office/"&amp;MID(SUBSTITUTE($O20," ",""),7,14),"Consultar emitente"),"")</f>
      </c>
      <c r="R20" s="18"/>
      <c r="S20" s="18"/>
      <c r="T20" s="18"/>
      <c r="U20" s="18"/>
      <c r="V20" s="18"/>
      <c r="W20" s="18"/>
    </row>
    <row r="21" ht="75.5" customHeight="1" spans="1:23" x14ac:dyDescent="0.25">
      <c r="A21" s="9" t="s">
        <v>134</v>
      </c>
      <c r="B21" s="10" t="s">
        <v>130</v>
      </c>
      <c r="C21" s="11" t="s">
        <v>30</v>
      </c>
      <c r="D21" s="12" t="s">
        <v>31</v>
      </c>
      <c r="E21" s="13" t="s">
        <v>135</v>
      </c>
      <c r="F21" s="14">
        <v>46153.625</v>
      </c>
      <c r="G21" s="15">
        <v>278.56</v>
      </c>
      <c r="H21" s="10" t="s">
        <v>33</v>
      </c>
      <c r="I21" s="10" t="s">
        <v>31</v>
      </c>
      <c r="J21" s="10" t="s">
        <v>136</v>
      </c>
      <c r="K21" s="10" t="s">
        <v>35</v>
      </c>
      <c r="L21" s="10" t="s">
        <v>36</v>
      </c>
      <c r="M21" s="10" t="s">
        <v>137</v>
      </c>
      <c r="N21" s="10" t="s">
        <v>38</v>
      </c>
      <c r="O21" s="16"/>
      <c r="P21" s="17">
        <f>IF(LEN(SUBSTITUTE($O21," ",""))=44,MID(SUBSTITUTE($O21," ",""),7,2)&amp;"."&amp;MID(SUBSTITUTE($O21," ",""),9,3)&amp;"."&amp;MID(SUBSTITUTE($O21," ",""),12,3)&amp;"/"&amp;MID(SUBSTITUTE($O21," ",""),15,4)&amp;"-"&amp;MID(SUBSTITUTE($O21," ",""),19,2),"")</f>
      </c>
      <c r="Q21" s="17">
        <f>IF(LEN(SUBSTITUTE($O21," ",""))=44,HYPERLINK("https://cnpja.com/office/"&amp;MID(SUBSTITUTE($O21," ",""),7,14),"Consultar emitente"),"")</f>
      </c>
      <c r="R21" s="18"/>
      <c r="S21" s="18"/>
      <c r="T21" s="18"/>
      <c r="U21" s="18"/>
      <c r="V21" s="18"/>
      <c r="W21" s="18"/>
    </row>
    <row r="23" spans="2:7" x14ac:dyDescent="0.25">
      <c r="B23" s="19" t="s">
        <v>138</v>
      </c>
      <c r="G23" s="20">
        <f>SUM(G5:G21)</f>
      </c>
    </row>
  </sheetData>
  <autoFilter ref="A4:W21"/>
  <mergeCells count="5">
    <mergeCell ref="A1:W1"/>
    <mergeCell ref="A2:W2"/>
    <mergeCell ref="A3:N3"/>
    <mergeCell ref="O3:Q3"/>
    <mergeCell ref="R3:W3"/>
  </mergeCells>
  <conditionalFormatting sqref="S5:S21">
    <cfRule type="expression" dxfId="0" priority="1">
      <formula>AND($R5="Oferta para a Igreja",$S5="")</formula>
    </cfRule>
    <cfRule type="expression" dxfId="1" priority="2">
      <formula>$R5&lt;&gt;"Oferta para a Igreja"</formula>
    </cfRule>
  </conditionalFormatting>
  <conditionalFormatting sqref="T5:T21">
    <cfRule type="expression" dxfId="2" priority="1">
      <formula>AND($R5="Reembolso",$T5="")</formula>
    </cfRule>
    <cfRule type="expression" dxfId="3" priority="2">
      <formula>$R5&lt;&gt;"Reembolso"</formula>
    </cfRule>
  </conditionalFormatting>
  <conditionalFormatting sqref="U5:U21">
    <cfRule type="expression" dxfId="4" priority="1">
      <formula>AND($R5="Reembolso",$U5="")</formula>
    </cfRule>
    <cfRule type="expression" dxfId="5" priority="2">
      <formula>$R5&lt;&gt;"Reembolso"</formula>
    </cfRule>
  </conditionalFormatting>
  <conditionalFormatting sqref="V5:V21">
    <cfRule type="expression" dxfId="6" priority="1">
      <formula>AND($R5="Pago de Outra Forma",$V5="")</formula>
    </cfRule>
    <cfRule type="expression" dxfId="7" priority="2">
      <formula>$R5&lt;&gt;"Pago de Outra Forma"</formula>
    </cfRule>
  </conditionalFormatting>
  <conditionalFormatting sqref="R5:R21">
    <cfRule type="expression" dxfId="8" priority="3">
      <formula>$R5=""</formula>
    </cfRule>
  </conditionalFormatting>
  <dataValidations count="6">
    <dataValidation type="list" allowBlank="1" showErrorMessage="1" errorTitle="Valor inválido" error="Escolha uma das opções da lista." sqref="R10:R21">
      <formula1>"Oferta para a Igreja,Reembolso,Pago de Outra Forma,Precisa Investigar"</formula1>
    </dataValidation>
    <dataValidation type="list" allowBlank="1" showErrorMessage="1" errorTitle="Valor inválido" error="Escolha uma das opções da lista." sqref="R5:R21">
      <formula1>"Oferta para a Igreja,Reembolso,Pago de Outra Forma,Precisa Investigar"</formula1>
    </dataValidation>
    <dataValidation type="list" allowBlank="1" showErrorMessage="1" errorTitle="Valor inválido" error="Escolha uma das opções da lista." sqref="U10:U21">
      <formula1>"Sim,Não"</formula1>
    </dataValidation>
    <dataValidation type="list" allowBlank="1" showErrorMessage="1" errorTitle="Valor inválido" error="Escolha uma das opções da lista." sqref="U5:U21">
      <formula1>"Sim,Não"</formula1>
    </dataValidation>
    <dataValidation type="list" allowBlank="1" showErrorMessage="1" errorTitle="Valor inválido" error="Escolha uma das opções da lista." sqref="V10:V21">
      <formula1>"PIX,TED,Dinheiro,Cartão,Outro"</formula1>
    </dataValidation>
    <dataValidation type="list" allowBlank="1" showErrorMessage="1" errorTitle="Valor inválido" error="Escolha uma das opções da lista." sqref="V5:V21">
      <formula1>"PIX,TED,Dinheiro,Cartão,Outro"</formula1>
    </dataValidation>
  </dataValidation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C22"/>
  <sheetFormatPr defaultRowHeight="15" outlineLevelRow="0" outlineLevelCol="0" x14ac:dyDescent="55"/>
  <cols>
    <col min="1" max="1" width="38" customWidth="1"/>
    <col min="2" max="2" width="10" customWidth="1"/>
    <col min="3" max="3" width="16" customWidth="1"/>
  </cols>
  <sheetData>
    <row r="1" spans="1:1" x14ac:dyDescent="0.25">
      <c r="A1" s="21" t="s">
        <v>139</v>
      </c>
    </row>
    <row r="3" spans="1:3" x14ac:dyDescent="0.25">
      <c r="A3" s="22" t="s">
        <v>22</v>
      </c>
      <c r="B3" s="22" t="s">
        <v>140</v>
      </c>
      <c r="C3" s="22" t="s">
        <v>11</v>
      </c>
    </row>
    <row r="4" spans="1:3" x14ac:dyDescent="0.25">
      <c r="A4" s="23" t="s">
        <v>141</v>
      </c>
      <c r="B4" s="23">
        <f>COUNTIF(Decisão!$R$5:$R$21,A4)</f>
      </c>
      <c r="C4" s="24">
        <f>SUMIF(Decisão!$R$5:$R$21,A4,Decisão!$G$5:$G$21)</f>
      </c>
    </row>
    <row r="5" spans="1:3" x14ac:dyDescent="0.25">
      <c r="A5" s="23" t="s">
        <v>142</v>
      </c>
      <c r="B5" s="23">
        <f>COUNTIF(Decisão!$R$5:$R$21,A5)</f>
      </c>
      <c r="C5" s="24">
        <f>SUMIF(Decisão!$R$5:$R$21,A5,Decisão!$G$5:$G$21)</f>
      </c>
    </row>
    <row r="6" spans="1:3" x14ac:dyDescent="0.25">
      <c r="A6" s="23" t="s">
        <v>143</v>
      </c>
      <c r="B6" s="23">
        <f>COUNTIF(Decisão!$R$5:$R$21,A6)</f>
      </c>
      <c r="C6" s="24">
        <f>SUMIF(Decisão!$R$5:$R$21,A6,Decisão!$G$5:$G$21)</f>
      </c>
    </row>
    <row r="7" spans="1:3" x14ac:dyDescent="0.25">
      <c r="A7" s="23" t="s">
        <v>144</v>
      </c>
      <c r="B7" s="23">
        <f>COUNTIF(Decisão!$R$5:$R$21,A7)</f>
      </c>
      <c r="C7" s="24">
        <f>SUMIF(Decisão!$R$5:$R$21,A7,Decisão!$G$5:$G$21)</f>
      </c>
    </row>
    <row r="8" spans="1:3" x14ac:dyDescent="0.25">
      <c r="A8" s="23" t="s">
        <v>145</v>
      </c>
      <c r="B8" s="23">
        <f>COUNTBLANK(Decisão!$R$5:$R$21)</f>
      </c>
      <c r="C8" s="24">
        <f>SUMIF(Decisão!$R$5:$R$21,"",Decisão!$G$5:$G$21)</f>
      </c>
    </row>
    <row r="9" spans="1:3" x14ac:dyDescent="0.25">
      <c r="A9" s="25" t="s">
        <v>146</v>
      </c>
      <c r="B9" s="25">
        <f>SUM(B4:B8)</f>
      </c>
      <c r="C9" s="26">
        <f>SUM(C4:C8)</f>
      </c>
    </row>
    <row r="11" spans="1:1" x14ac:dyDescent="0.25">
      <c r="A11" s="27" t="s">
        <v>147</v>
      </c>
    </row>
    <row r="12" spans="1:2" x14ac:dyDescent="0.25">
      <c r="A12" s="23" t="s">
        <v>148</v>
      </c>
      <c r="B12" s="23">
        <f>COUNTIFS(Decisão!$R$5:$R$21,"Oferta para a Igreja",Decisão!$S$5:$S$21,"")</f>
      </c>
    </row>
    <row r="13" spans="1:2" x14ac:dyDescent="0.25">
      <c r="A13" s="23" t="s">
        <v>149</v>
      </c>
      <c r="B13" s="23">
        <f>COUNTIFS(Decisão!$R$5:$R$21,"Reembolso",Decisão!$T$5:$T$21,"")</f>
      </c>
    </row>
    <row r="14" spans="1:2" x14ac:dyDescent="0.25">
      <c r="A14" s="23" t="s">
        <v>150</v>
      </c>
      <c r="B14" s="23">
        <f>COUNTIFS(Decisão!$R$5:$R$21,"Reembolso",Decisão!$U$5:$U$21,"")</f>
      </c>
    </row>
    <row r="15" spans="1:2" x14ac:dyDescent="0.25">
      <c r="A15" s="23" t="s">
        <v>151</v>
      </c>
      <c r="B15" s="23">
        <f>COUNTIFS(Decisão!$R$5:$R$21,"Pago de Outra Forma",Decisão!$V$5:$V$21,"")</f>
      </c>
    </row>
    <row r="17" spans="1:1" x14ac:dyDescent="0.25">
      <c r="A17" s="27" t="s">
        <v>152</v>
      </c>
    </row>
    <row r="18" spans="1:2" x14ac:dyDescent="0.25">
      <c r="A18" s="23" t="s">
        <v>153</v>
      </c>
      <c r="B18" s="23">
        <f>COUNTIF(Decisão!$C$5:$C$21,"*/0*")</f>
      </c>
    </row>
    <row r="19" spans="1:2" x14ac:dyDescent="0.25">
      <c r="A19" s="23" t="s">
        <v>154</v>
      </c>
      <c r="B19" s="23">
        <f>COUNTIF(Decisão!$C$5:$C$21,"Não identificado")</f>
      </c>
    </row>
    <row r="20" spans="1:2" x14ac:dyDescent="0.25">
      <c r="A20" s="23" t="s">
        <v>155</v>
      </c>
      <c r="B20" s="23">
        <f>COUNTA(Decisão!$O$5:$O$21)</f>
      </c>
    </row>
    <row r="22" spans="1:1" x14ac:dyDescent="0.25">
      <c r="A22" s="28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F25"/>
  <sheetFormatPr defaultRowHeight="15" outlineLevelRow="0" outlineLevelCol="0" x14ac:dyDescent="55"/>
  <cols>
    <col min="1" max="1" width="8" customWidth="1"/>
    <col min="2" max="2" width="44" customWidth="1"/>
    <col min="3" max="3" width="11" customWidth="1"/>
    <col min="4" max="4" width="12" customWidth="1"/>
    <col min="5" max="5" width="13" customWidth="1"/>
    <col min="6" max="6" width="60" customWidth="1"/>
  </cols>
  <sheetData>
    <row r="1" spans="1:6" x14ac:dyDescent="0.25">
      <c r="A1" s="21" t="s">
        <v>157</v>
      </c>
      <c r="B1" s="21"/>
      <c r="C1" s="21"/>
      <c r="D1" s="21"/>
      <c r="E1" s="21"/>
      <c r="F1" s="21"/>
    </row>
    <row r="2" spans="1:6" x14ac:dyDescent="0.25">
      <c r="A2" s="29" t="s">
        <v>158</v>
      </c>
      <c r="B2" s="29"/>
      <c r="C2" s="29"/>
      <c r="D2" s="29"/>
      <c r="E2" s="29"/>
      <c r="F2" s="29"/>
    </row>
    <row r="3" spans="1:6" x14ac:dyDescent="0.25">
      <c r="A3" s="29"/>
      <c r="B3" s="29"/>
      <c r="C3" s="29"/>
      <c r="D3" s="29"/>
      <c r="E3" s="29"/>
      <c r="F3" s="29"/>
    </row>
    <row r="4" spans="1:6" x14ac:dyDescent="0.25">
      <c r="A4" s="29"/>
      <c r="B4" s="29"/>
      <c r="C4" s="29"/>
      <c r="D4" s="29"/>
      <c r="E4" s="29"/>
      <c r="F4" s="29"/>
    </row>
    <row r="5" spans="1:6" x14ac:dyDescent="0.25">
      <c r="A5" s="29"/>
      <c r="B5" s="29"/>
      <c r="C5" s="29"/>
      <c r="D5" s="29"/>
      <c r="E5" s="29"/>
      <c r="F5" s="29"/>
    </row>
    <row r="6" spans="1:6" x14ac:dyDescent="0.25">
      <c r="A6" s="29"/>
      <c r="B6" s="29"/>
      <c r="C6" s="29"/>
      <c r="D6" s="29"/>
      <c r="E6" s="29"/>
      <c r="F6" s="29"/>
    </row>
    <row r="8" spans="1:6" x14ac:dyDescent="0.25">
      <c r="A8" s="30" t="s">
        <v>5</v>
      </c>
      <c r="B8" s="30" t="s">
        <v>6</v>
      </c>
      <c r="C8" s="30" t="s">
        <v>9</v>
      </c>
      <c r="D8" s="30" t="s">
        <v>10</v>
      </c>
      <c r="E8" s="30" t="s">
        <v>11</v>
      </c>
      <c r="F8" s="30" t="s">
        <v>159</v>
      </c>
    </row>
    <row r="9" spans="1:6" x14ac:dyDescent="0.25">
      <c r="A9" s="23" t="s">
        <v>28</v>
      </c>
      <c r="B9" s="23" t="s">
        <v>29</v>
      </c>
      <c r="C9" s="23" t="s">
        <v>32</v>
      </c>
      <c r="D9" s="31">
        <v>45955.625</v>
      </c>
      <c r="E9" s="24">
        <v>125.88</v>
      </c>
      <c r="F9" s="32" t="s">
        <v>160</v>
      </c>
    </row>
    <row r="10" spans="1:6" x14ac:dyDescent="0.25">
      <c r="A10" s="23" t="s">
        <v>39</v>
      </c>
      <c r="B10" s="23" t="s">
        <v>40</v>
      </c>
      <c r="C10" s="23" t="s">
        <v>43</v>
      </c>
      <c r="D10" s="31">
        <v>45957.625</v>
      </c>
      <c r="E10" s="24">
        <v>84.2</v>
      </c>
      <c r="F10" s="32" t="s">
        <v>160</v>
      </c>
    </row>
    <row r="11" spans="1:6" x14ac:dyDescent="0.25">
      <c r="A11" s="23" t="s">
        <v>47</v>
      </c>
      <c r="B11" s="23" t="s">
        <v>48</v>
      </c>
      <c r="C11" s="23" t="s">
        <v>49</v>
      </c>
      <c r="D11" s="31">
        <v>45958.625</v>
      </c>
      <c r="E11" s="24">
        <v>25</v>
      </c>
      <c r="F11" s="32" t="s">
        <v>160</v>
      </c>
    </row>
    <row r="12" spans="1:6" x14ac:dyDescent="0.25">
      <c r="A12" s="23" t="s">
        <v>52</v>
      </c>
      <c r="B12" s="23" t="s">
        <v>53</v>
      </c>
      <c r="C12" s="23" t="s">
        <v>54</v>
      </c>
      <c r="D12" s="31">
        <v>45959.625</v>
      </c>
      <c r="E12" s="24">
        <v>25.98</v>
      </c>
      <c r="F12" s="32" t="s">
        <v>160</v>
      </c>
    </row>
    <row r="13" spans="1:6" x14ac:dyDescent="0.25">
      <c r="A13" s="23" t="s">
        <v>57</v>
      </c>
      <c r="B13" s="23" t="s">
        <v>58</v>
      </c>
      <c r="C13" s="23" t="s">
        <v>59</v>
      </c>
      <c r="D13" s="31">
        <v>45980.625</v>
      </c>
      <c r="E13" s="24">
        <v>112.22</v>
      </c>
      <c r="F13" s="32" t="s">
        <v>160</v>
      </c>
    </row>
    <row r="14" spans="1:6" x14ac:dyDescent="0.25">
      <c r="A14" s="23" t="s">
        <v>62</v>
      </c>
      <c r="B14" s="23" t="s">
        <v>63</v>
      </c>
      <c r="C14" s="23" t="s">
        <v>64</v>
      </c>
      <c r="D14" s="31">
        <v>46130.625</v>
      </c>
      <c r="E14" s="24">
        <v>143</v>
      </c>
      <c r="F14" s="32" t="s">
        <v>160</v>
      </c>
    </row>
    <row r="15" spans="1:6" x14ac:dyDescent="0.25">
      <c r="A15" s="23" t="s">
        <v>67</v>
      </c>
      <c r="B15" s="23" t="s">
        <v>68</v>
      </c>
      <c r="C15" s="23" t="s">
        <v>69</v>
      </c>
      <c r="D15" s="31">
        <v>46140.625</v>
      </c>
      <c r="E15" s="24">
        <v>104.4</v>
      </c>
      <c r="F15" s="32" t="s">
        <v>160</v>
      </c>
    </row>
    <row r="16" spans="1:6" x14ac:dyDescent="0.25">
      <c r="A16" s="23" t="s">
        <v>72</v>
      </c>
      <c r="B16" s="23" t="s">
        <v>73</v>
      </c>
      <c r="C16" s="23" t="s">
        <v>76</v>
      </c>
      <c r="D16" s="31">
        <v>46244.625</v>
      </c>
      <c r="E16" s="24">
        <v>255.3</v>
      </c>
      <c r="F16" s="32" t="s">
        <v>160</v>
      </c>
    </row>
    <row r="17" spans="1:6" x14ac:dyDescent="0.25">
      <c r="A17" s="23" t="s">
        <v>82</v>
      </c>
      <c r="B17" s="23" t="s">
        <v>83</v>
      </c>
      <c r="C17" s="23" t="s">
        <v>84</v>
      </c>
      <c r="D17" s="31">
        <v>46260.625</v>
      </c>
      <c r="E17" s="24">
        <v>149.38</v>
      </c>
      <c r="F17" s="32" t="s">
        <v>160</v>
      </c>
    </row>
    <row r="18" spans="1:6" x14ac:dyDescent="0.25">
      <c r="A18" s="23" t="s">
        <v>87</v>
      </c>
      <c r="B18" s="23" t="s">
        <v>88</v>
      </c>
      <c r="C18" s="23" t="s">
        <v>91</v>
      </c>
      <c r="D18" s="31">
        <v>46265.625</v>
      </c>
      <c r="E18" s="24">
        <v>443.95</v>
      </c>
      <c r="F18" s="32" t="s">
        <v>160</v>
      </c>
    </row>
    <row r="19" spans="1:6" x14ac:dyDescent="0.25">
      <c r="A19" s="23" t="s">
        <v>95</v>
      </c>
      <c r="B19" s="23" t="s">
        <v>96</v>
      </c>
      <c r="C19" s="23" t="s">
        <v>99</v>
      </c>
      <c r="D19" s="31">
        <v>45575.625</v>
      </c>
      <c r="E19" s="24">
        <v>137.28</v>
      </c>
      <c r="F19" s="32" t="s">
        <v>160</v>
      </c>
    </row>
    <row r="20" spans="1:6" x14ac:dyDescent="0.25">
      <c r="A20" s="23" t="s">
        <v>105</v>
      </c>
      <c r="B20" s="23" t="s">
        <v>106</v>
      </c>
      <c r="C20" s="23" t="s">
        <v>107</v>
      </c>
      <c r="D20" s="31">
        <v>45603.625</v>
      </c>
      <c r="E20" s="24">
        <v>150</v>
      </c>
      <c r="F20" s="32" t="s">
        <v>160</v>
      </c>
    </row>
    <row r="21" spans="1:6" x14ac:dyDescent="0.25">
      <c r="A21" s="23" t="s">
        <v>111</v>
      </c>
      <c r="B21" s="23" t="s">
        <v>112</v>
      </c>
      <c r="C21" s="23" t="s">
        <v>113</v>
      </c>
      <c r="D21" s="31">
        <v>45898.625</v>
      </c>
      <c r="E21" s="24">
        <v>161.3</v>
      </c>
      <c r="F21" s="32" t="s">
        <v>160</v>
      </c>
    </row>
    <row r="22" spans="1:6" x14ac:dyDescent="0.25">
      <c r="A22" s="23" t="s">
        <v>116</v>
      </c>
      <c r="B22" s="23" t="s">
        <v>117</v>
      </c>
      <c r="C22" s="23" t="s">
        <v>120</v>
      </c>
      <c r="D22" s="31">
        <v>45908.625</v>
      </c>
      <c r="E22" s="24">
        <v>445.1</v>
      </c>
      <c r="F22" s="32" t="s">
        <v>160</v>
      </c>
    </row>
    <row r="23" spans="1:6" x14ac:dyDescent="0.25">
      <c r="A23" s="23" t="s">
        <v>124</v>
      </c>
      <c r="B23" s="23" t="s">
        <v>125</v>
      </c>
      <c r="C23" s="23" t="s">
        <v>126</v>
      </c>
      <c r="D23" s="31">
        <v>45996.625</v>
      </c>
      <c r="E23" s="24">
        <v>50</v>
      </c>
      <c r="F23" s="32" t="s">
        <v>160</v>
      </c>
    </row>
    <row r="24" spans="1:6" x14ac:dyDescent="0.25">
      <c r="A24" s="23" t="s">
        <v>129</v>
      </c>
      <c r="B24" s="23" t="s">
        <v>130</v>
      </c>
      <c r="C24" s="23" t="s">
        <v>131</v>
      </c>
      <c r="D24" s="31">
        <v>46147.625</v>
      </c>
      <c r="E24" s="24">
        <v>258.63</v>
      </c>
      <c r="F24" s="32" t="s">
        <v>160</v>
      </c>
    </row>
    <row r="25" spans="1:6" x14ac:dyDescent="0.25">
      <c r="A25" s="23" t="s">
        <v>134</v>
      </c>
      <c r="B25" s="23" t="s">
        <v>130</v>
      </c>
      <c r="C25" s="23" t="s">
        <v>135</v>
      </c>
      <c r="D25" s="31">
        <v>46153.625</v>
      </c>
      <c r="E25" s="24">
        <v>278.56</v>
      </c>
      <c r="F25" s="32" t="s">
        <v>160</v>
      </c>
    </row>
  </sheetData>
  <mergeCells count="2">
    <mergeCell ref="A1:F1"/>
    <mergeCell ref="A2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6D00"/>
  </sheetPr>
  <dimension ref="A1:C16"/>
  <sheetFormatPr defaultRowHeight="15" outlineLevelRow="0" outlineLevelCol="0" x14ac:dyDescent="55"/>
  <cols>
    <col min="1" max="1" width="24" customWidth="1"/>
    <col min="2" max="2" width="70" customWidth="1"/>
    <col min="3" max="3" width="62" customWidth="1"/>
  </cols>
  <sheetData>
    <row r="1" spans="1:1" x14ac:dyDescent="0.25">
      <c r="A1" s="21" t="s">
        <v>161</v>
      </c>
    </row>
    <row r="3" spans="1:3" x14ac:dyDescent="0.25">
      <c r="A3" s="22" t="s">
        <v>22</v>
      </c>
      <c r="B3" s="22" t="s">
        <v>162</v>
      </c>
      <c r="C3" s="22" t="s">
        <v>163</v>
      </c>
    </row>
    <row r="4" ht="62" customHeight="1" spans="1:3" x14ac:dyDescent="0.25">
      <c r="A4" s="9" t="s">
        <v>141</v>
      </c>
      <c r="B4" s="10" t="s">
        <v>164</v>
      </c>
      <c r="C4" s="10" t="s">
        <v>165</v>
      </c>
    </row>
    <row r="5" ht="62" customHeight="1" spans="1:3" x14ac:dyDescent="0.25">
      <c r="A5" s="9" t="s">
        <v>142</v>
      </c>
      <c r="B5" s="10" t="s">
        <v>166</v>
      </c>
      <c r="C5" s="10" t="s">
        <v>167</v>
      </c>
    </row>
    <row r="6" ht="62" customHeight="1" spans="1:3" x14ac:dyDescent="0.25">
      <c r="A6" s="9" t="s">
        <v>143</v>
      </c>
      <c r="B6" s="10" t="s">
        <v>168</v>
      </c>
      <c r="C6" s="10" t="s">
        <v>169</v>
      </c>
    </row>
    <row r="7" ht="62" customHeight="1" spans="1:3" x14ac:dyDescent="0.25">
      <c r="A7" s="9" t="s">
        <v>144</v>
      </c>
      <c r="B7" s="10" t="s">
        <v>170</v>
      </c>
      <c r="C7" s="10" t="s">
        <v>171</v>
      </c>
    </row>
    <row r="9" spans="1:1" x14ac:dyDescent="0.25">
      <c r="A9" s="21" t="s">
        <v>172</v>
      </c>
    </row>
    <row r="10" ht="30" customHeight="1" spans="1:3" x14ac:dyDescent="0.25">
      <c r="A10" s="29" t="s">
        <v>173</v>
      </c>
      <c r="B10" s="29"/>
      <c r="C10" s="29"/>
    </row>
    <row r="11" ht="30" customHeight="1" spans="1:3" x14ac:dyDescent="0.25">
      <c r="A11" s="29" t="s">
        <v>174</v>
      </c>
      <c r="B11" s="29"/>
      <c r="C11" s="29"/>
    </row>
    <row r="12" ht="30" customHeight="1" spans="1:3" x14ac:dyDescent="0.25">
      <c r="A12" s="29" t="s">
        <v>175</v>
      </c>
      <c r="B12" s="29"/>
      <c r="C12" s="29"/>
    </row>
    <row r="13" ht="30" customHeight="1" spans="1:3" x14ac:dyDescent="0.25">
      <c r="A13" s="29" t="s">
        <v>176</v>
      </c>
      <c r="B13" s="29"/>
      <c r="C13" s="29"/>
    </row>
    <row r="14" ht="30" customHeight="1" spans="1:3" x14ac:dyDescent="0.25">
      <c r="A14" s="29" t="s">
        <v>177</v>
      </c>
      <c r="B14" s="29"/>
      <c r="C14" s="29"/>
    </row>
    <row r="16" spans="1:1" x14ac:dyDescent="0.25">
      <c r="A16" s="33" t="s">
        <v>178</v>
      </c>
    </row>
  </sheetData>
  <mergeCells count="5">
    <mergeCell ref="A10:C10"/>
    <mergeCell ref="A11:C11"/>
    <mergeCell ref="A12:C12"/>
    <mergeCell ref="A13:C13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Decisão</vt:lpstr>
      <vt:lpstr>Resumo</vt:lpstr>
      <vt:lpstr>Pedido ao escritório</vt:lpstr>
      <vt:lpstr>Como preencher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DiakoniaApp</dc:creator>
  <dc:title/>
  <dc:subject/>
  <dc:description/>
  <cp:keywords/>
  <cp:category/>
  <cp:lastModifiedBy>Unknown</cp:lastModifiedBy>
  <dcterms:created xsi:type="dcterms:W3CDTF">2026-10-13T14:44:47Z</dcterms:created>
  <dcterms:modified xsi:type="dcterms:W3CDTF">2026-10-13T14:44:47Z</dcterms:modified>
</cp:coreProperties>
</file>